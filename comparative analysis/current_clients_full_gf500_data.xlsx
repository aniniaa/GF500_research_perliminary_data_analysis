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niyaBagheri\GF500_research_perliminary_data_analysis\comparative analysis\"/>
    </mc:Choice>
  </mc:AlternateContent>
  <xr:revisionPtr revIDLastSave="0" documentId="13_ncr:1_{15F31B9B-6398-4150-8A77-D6C2282FF0E2}" xr6:coauthVersionLast="47" xr6:coauthVersionMax="47" xr10:uidLastSave="{00000000-0000-0000-0000-000000000000}"/>
  <bookViews>
    <workbookView xWindow="6420" yWindow="-11160" windowWidth="19185" windowHeight="1054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C21" i="1" l="1"/>
  <c r="CG21" i="1"/>
  <c r="CU21" i="1"/>
  <c r="CY21" i="1"/>
  <c r="DJ21" i="1"/>
  <c r="DK21" i="1"/>
  <c r="DL21" i="1"/>
  <c r="EI21" i="1"/>
</calcChain>
</file>

<file path=xl/sharedStrings.xml><?xml version="1.0" encoding="utf-8"?>
<sst xmlns="http://schemas.openxmlformats.org/spreadsheetml/2006/main" count="1128" uniqueCount="440">
  <si>
    <t>AccountID_18</t>
  </si>
  <si>
    <t>Account Name</t>
  </si>
  <si>
    <t>Type</t>
  </si>
  <si>
    <t>Billing City</t>
  </si>
  <si>
    <t>Billing State/Province</t>
  </si>
  <si>
    <t>Billing Country</t>
  </si>
  <si>
    <t>Industry</t>
  </si>
  <si>
    <t>Industry: Sub-category</t>
  </si>
  <si>
    <t>Account Owner</t>
  </si>
  <si>
    <t>Net Zero Interim Target Dates</t>
  </si>
  <si>
    <t>Net Zero Target Status</t>
  </si>
  <si>
    <t>Net Zero target set</t>
  </si>
  <si>
    <t>Net Zero Target Year</t>
  </si>
  <si>
    <t>RE100 Target Year</t>
  </si>
  <si>
    <t>RE100 Member</t>
  </si>
  <si>
    <t>Target Type</t>
  </si>
  <si>
    <t>Website</t>
  </si>
  <si>
    <t>ZI Website</t>
  </si>
  <si>
    <t>Normalized_Name</t>
  </si>
  <si>
    <t>2025 Rank</t>
  </si>
  <si>
    <t>2024 rank</t>
  </si>
  <si>
    <t>Company name</t>
  </si>
  <si>
    <t>Sector (Fortune)</t>
  </si>
  <si>
    <t>Sector (final classification)</t>
  </si>
  <si>
    <t>Country</t>
  </si>
  <si>
    <t>Region</t>
  </si>
  <si>
    <t>Revenue ($M) usable</t>
  </si>
  <si>
    <t>Profits ($M) usable</t>
  </si>
  <si>
    <t>Profits (% change)</t>
  </si>
  <si>
    <t>Assets ($M)</t>
  </si>
  <si>
    <t>Employees</t>
  </si>
  <si>
    <t>Years on list (2025)</t>
  </si>
  <si>
    <t>RE100 (Y/N)</t>
  </si>
  <si>
    <t>Joining year</t>
  </si>
  <si>
    <t>Target year</t>
  </si>
  <si>
    <t>In SBTI database?</t>
  </si>
  <si>
    <t>Near Term SBT (Y = yes, N=no)</t>
  </si>
  <si>
    <t>Target status (T = target set, C = committed, N=No, R=Removed)</t>
  </si>
  <si>
    <t>Target classification (near term) - temp</t>
  </si>
  <si>
    <t xml:space="preserve">Target year (near term) (earlier of the two dates if there were two) </t>
  </si>
  <si>
    <t>Long term - Target Status</t>
  </si>
  <si>
    <t>Long term - Target Classification</t>
  </si>
  <si>
    <t>Long term - Target Year</t>
  </si>
  <si>
    <t>Net zero committed (SBTi) (Y = yes, N = no)</t>
  </si>
  <si>
    <t>SBTi NZ Target Status</t>
  </si>
  <si>
    <t>Net zero Target year (SBTi)</t>
  </si>
  <si>
    <t>notes</t>
  </si>
  <si>
    <t>NZ Tracker_End target (in their words)</t>
  </si>
  <si>
    <t>NZ Tracker Target Grouping</t>
  </si>
  <si>
    <t>Scope 1</t>
  </si>
  <si>
    <t>Scope 2</t>
  </si>
  <si>
    <t>Scope 3</t>
  </si>
  <si>
    <t>Carbon neutral scope(s) - Scope 1,2,3 (NZ Tracker)</t>
  </si>
  <si>
    <t>Carbon neutral commitment (C = company, V = value chain, G= Government, S=Subsidiary,  U = unspecified, N=no)</t>
  </si>
  <si>
    <t>CN (Y/N)</t>
  </si>
  <si>
    <t>Carbon neutral claim (in their words)</t>
  </si>
  <si>
    <t>Target year.1</t>
  </si>
  <si>
    <t>Source</t>
  </si>
  <si>
    <t>Notes (including climate positive)</t>
  </si>
  <si>
    <t>Net zero commitment (V = value chain, C = company,  U = unclear, S=Subsidiary)</t>
  </si>
  <si>
    <t>NZ (Y/N)</t>
  </si>
  <si>
    <t>Primary net zero scope (in their words)</t>
  </si>
  <si>
    <t>Primary net zero claim (in their words)</t>
  </si>
  <si>
    <t>Net zero target year</t>
  </si>
  <si>
    <t>Source.1</t>
  </si>
  <si>
    <t>Notes</t>
  </si>
  <si>
    <t>Carbon credits (Y = yes, N = no, R = removals only, U = unclear).1</t>
  </si>
  <si>
    <t>Removals</t>
  </si>
  <si>
    <t>Separate Removal Target</t>
  </si>
  <si>
    <t>Other reduction target (Y = yes) (either companies w/ no SBT or w/ SBT "C")</t>
  </si>
  <si>
    <t>Target details (Text)</t>
  </si>
  <si>
    <t>Target Year</t>
  </si>
  <si>
    <t>Source.2</t>
  </si>
  <si>
    <t>Notes.1</t>
  </si>
  <si>
    <t>Who did it?</t>
  </si>
  <si>
    <t>When?</t>
  </si>
  <si>
    <t>Oher Sources</t>
  </si>
  <si>
    <t>RE100 &lt;=2024</t>
  </si>
  <si>
    <t>RE100 2025-2030</t>
  </si>
  <si>
    <t>RE100&gt;2030</t>
  </si>
  <si>
    <t>All RE</t>
  </si>
  <si>
    <t>SBTi ST &lt;= 2025</t>
  </si>
  <si>
    <t>SBTi ST 2026-2030</t>
  </si>
  <si>
    <t>SBTi ST &gt; 2030</t>
  </si>
  <si>
    <t>All SBTi ST</t>
  </si>
  <si>
    <t>SBTi NZ &lt;= 2024</t>
  </si>
  <si>
    <t>SBTi NZ 2026-2030</t>
  </si>
  <si>
    <t>SBTi NZ &gt; 2030</t>
  </si>
  <si>
    <t>Other NZ &lt;= 2025</t>
  </si>
  <si>
    <t>Other NZ 2025-2030</t>
  </si>
  <si>
    <t>Other NZ &gt; 2030</t>
  </si>
  <si>
    <t>CN &lt;=2025</t>
  </si>
  <si>
    <t>CN 2026-2030</t>
  </si>
  <si>
    <t>CN 2031-2060</t>
  </si>
  <si>
    <t>CN &lt;= 2024</t>
  </si>
  <si>
    <t>CN 2025-2030</t>
  </si>
  <si>
    <t>CN &gt; 2030</t>
  </si>
  <si>
    <t>All CN</t>
  </si>
  <si>
    <t>ALL CN</t>
  </si>
  <si>
    <t>Total NZ &lt;=2025</t>
  </si>
  <si>
    <t>Total NZ 2026-2030</t>
  </si>
  <si>
    <t>Total NZ &gt; 2030</t>
  </si>
  <si>
    <t>All NZ</t>
  </si>
  <si>
    <t>CN/NZ-OLD</t>
  </si>
  <si>
    <t>CN?NZ-NEW</t>
  </si>
  <si>
    <t>Other Emission Reduction &lt;=2024</t>
  </si>
  <si>
    <t>Other Emission Reduction 2025-2030</t>
  </si>
  <si>
    <t>Other Emission Reduction &gt; 2030</t>
  </si>
  <si>
    <t xml:space="preserve">actions already achieved </t>
  </si>
  <si>
    <t xml:space="preserve">actions due by 2030 </t>
  </si>
  <si>
    <t xml:space="preserve">actions due after 2030 </t>
  </si>
  <si>
    <t>ALL Actions</t>
  </si>
  <si>
    <t>One of the actions</t>
  </si>
  <si>
    <t>Carbon Credits (Y)</t>
  </si>
  <si>
    <t>Carbon Credits (No)</t>
  </si>
  <si>
    <t>Carbon Credits (Not Specified)</t>
  </si>
  <si>
    <t>SBTi ST 2026-2030.1</t>
  </si>
  <si>
    <t xml:space="preserve">NZ both </t>
  </si>
  <si>
    <t xml:space="preserve">NZ latest target year </t>
  </si>
  <si>
    <t xml:space="preserve">CN already achieved </t>
  </si>
  <si>
    <t>CN 2024-2030</t>
  </si>
  <si>
    <t>CN 2031-2050</t>
  </si>
  <si>
    <t>Any CN</t>
  </si>
  <si>
    <t>NZ already achieved</t>
  </si>
  <si>
    <t>NZ 2024-2030</t>
  </si>
  <si>
    <t>NZ 2031-2050</t>
  </si>
  <si>
    <t>Any NZ</t>
  </si>
  <si>
    <t>SBT already achieved</t>
  </si>
  <si>
    <t>SBT 2024-2030</t>
  </si>
  <si>
    <t>SBT 2031-2050</t>
  </si>
  <si>
    <t>Any SBT</t>
  </si>
  <si>
    <t>RE100 already achieved</t>
  </si>
  <si>
    <t>RE100 2024-2030</t>
  </si>
  <si>
    <t>RE100 2031-2050</t>
  </si>
  <si>
    <t>Any RE100</t>
  </si>
  <si>
    <t>CN/NZ - IF THE COMPANY HAS A Ccn or nz target</t>
  </si>
  <si>
    <t>CN/NZ 2030</t>
  </si>
  <si>
    <t>CN/NZ 2050</t>
  </si>
  <si>
    <t>will use cabon credits</t>
  </si>
  <si>
    <t>will NOT use carbon credits</t>
  </si>
  <si>
    <t>any target</t>
  </si>
  <si>
    <t>any target already achived</t>
  </si>
  <si>
    <t>sbti</t>
  </si>
  <si>
    <t>nz-sbti</t>
  </si>
  <si>
    <t>nz</t>
  </si>
  <si>
    <t>cn</t>
  </si>
  <si>
    <t>cn-cc</t>
  </si>
  <si>
    <t>nz-cc</t>
  </si>
  <si>
    <t>sbti.1</t>
  </si>
  <si>
    <t>nz-sbti.1</t>
  </si>
  <si>
    <t>nz.1</t>
  </si>
  <si>
    <t>cn.1</t>
  </si>
  <si>
    <t>cn-cc.1</t>
  </si>
  <si>
    <t>nz-cc.1</t>
  </si>
  <si>
    <t>nz years</t>
  </si>
  <si>
    <t>00120000001bQgxAAE</t>
  </si>
  <si>
    <t>Compass Group PLC</t>
  </si>
  <si>
    <t>Existing Client</t>
  </si>
  <si>
    <t>Chertsey</t>
  </si>
  <si>
    <t>Surrey</t>
  </si>
  <si>
    <t>United Kingdom</t>
  </si>
  <si>
    <t>Food, Beverages, and Agriculture</t>
  </si>
  <si>
    <t>Georgia McAndrew</t>
  </si>
  <si>
    <t>FY26 - 149 Prospect List</t>
  </si>
  <si>
    <t>http://www.compass-group.co.uk</t>
  </si>
  <si>
    <t>www.compass-group.co.uk</t>
  </si>
  <si>
    <t>COMPASS</t>
  </si>
  <si>
    <t>Compass Group</t>
  </si>
  <si>
    <t>Diversified Outsourcing Services</t>
  </si>
  <si>
    <t>Industrial goods</t>
  </si>
  <si>
    <t>Britain</t>
  </si>
  <si>
    <t>Europe</t>
  </si>
  <si>
    <t>$42,002</t>
  </si>
  <si>
    <t>$1,404</t>
  </si>
  <si>
    <t>$24,349</t>
  </si>
  <si>
    <t>N</t>
  </si>
  <si>
    <t>Y</t>
  </si>
  <si>
    <t>Targets set</t>
  </si>
  <si>
    <t xml:space="preserve">1.5°C </t>
  </si>
  <si>
    <t>Net zero</t>
  </si>
  <si>
    <t>Net Zero</t>
  </si>
  <si>
    <t>Yes</t>
  </si>
  <si>
    <t>1,2,3</t>
  </si>
  <si>
    <t>C,V</t>
  </si>
  <si>
    <t>"Approved Science based targets to 2030. Carbon neutrality in our operations by 2030 (Scope 1 &amp; 2). Climate Net Zero by 2050 across our value chain." as per the Global Roadmap to Net Zero https://web.archive.org/web/20250927184014/https://www.compass-group.com/content/dam/compass-group/corporate/sustainability/net-zero/Planet_Promise_Roadmap_1021.pdf</t>
  </si>
  <si>
    <t>Yes (nature-based removals e.g. Forestation, soil carbon enhancement)</t>
  </si>
  <si>
    <t>No</t>
  </si>
  <si>
    <t>2050 2050</t>
  </si>
  <si>
    <t>V</t>
  </si>
  <si>
    <t>C</t>
  </si>
  <si>
    <t>00120000001izuaAAA</t>
  </si>
  <si>
    <t>Deutsche Bank AG</t>
  </si>
  <si>
    <t>Frankfurt am Main</t>
  </si>
  <si>
    <t>South Korea</t>
  </si>
  <si>
    <t>Financial Services</t>
  </si>
  <si>
    <t>Banks</t>
  </si>
  <si>
    <t>Paula Tongue</t>
  </si>
  <si>
    <t>https://www.db.com/</t>
  </si>
  <si>
    <t>www.db.com</t>
  </si>
  <si>
    <t>DEUTSCHE BANK</t>
  </si>
  <si>
    <t>Deutsche Bank</t>
  </si>
  <si>
    <t>Banks: Commercial and Savings</t>
  </si>
  <si>
    <t>Financial services</t>
  </si>
  <si>
    <t>Germany</t>
  </si>
  <si>
    <t>$73,708.2</t>
  </si>
  <si>
    <t>$4,695.6</t>
  </si>
  <si>
    <t>$1,440,291</t>
  </si>
  <si>
    <t>"Our initial Transition Plan describes the progress made to date as well as our plan to reach net zero by 2050, and is part of Deutsche Bank's NZBA commitment."</t>
  </si>
  <si>
    <t>Not Specified</t>
  </si>
  <si>
    <t xml:space="preserve"> 2050</t>
  </si>
  <si>
    <t>001200000079D9DAAU</t>
  </si>
  <si>
    <t>HP Inc</t>
  </si>
  <si>
    <t>Palo Alto</t>
  </si>
  <si>
    <t>California</t>
  </si>
  <si>
    <t>United States</t>
  </si>
  <si>
    <t>Technology</t>
  </si>
  <si>
    <t>Hardware</t>
  </si>
  <si>
    <t>Frederieke Barber</t>
  </si>
  <si>
    <t>http://www.hp.com</t>
  </si>
  <si>
    <t>www.hp.com</t>
  </si>
  <si>
    <t>HP</t>
  </si>
  <si>
    <t>Computers</t>
  </si>
  <si>
    <t>U.S.</t>
  </si>
  <si>
    <t>North America</t>
  </si>
  <si>
    <t>$53,559</t>
  </si>
  <si>
    <t>$2,775</t>
  </si>
  <si>
    <t>$39,909</t>
  </si>
  <si>
    <t>"Reduce HP value chain GHG emissions by 50% by 2030 (compared to 2019), and achieve net zero emissions by 2040" (P.60, Sustainability Impact Report 2024)</t>
  </si>
  <si>
    <t>2040 2040</t>
  </si>
  <si>
    <t>001200000079DAAAA2</t>
  </si>
  <si>
    <t>Dell Technologies</t>
  </si>
  <si>
    <t>Round Rock</t>
  </si>
  <si>
    <t>TX</t>
  </si>
  <si>
    <t>http://www.dell.com</t>
  </si>
  <si>
    <t>www.dell.com</t>
  </si>
  <si>
    <t>DELL TECHNOLOGIES</t>
  </si>
  <si>
    <t>$95,567</t>
  </si>
  <si>
    <t>$4,592</t>
  </si>
  <si>
    <t>$79,746</t>
  </si>
  <si>
    <t xml:space="preserve">Dellâ€™s long-term approach to managing our contribution to climate change is a commitment to reach net-zero carbon emissions across our full greenhouse gas inventory by 2050, inclusive of Scope 1, Scope 2 and Scope 3 carbon emissions._x000D_
</t>
  </si>
  <si>
    <t>2051 2050</t>
  </si>
  <si>
    <t>001200000079DCTAA2</t>
  </si>
  <si>
    <t>Microsoft Corporation</t>
  </si>
  <si>
    <t>Redmond</t>
  </si>
  <si>
    <t>WA</t>
  </si>
  <si>
    <t>Alterra Hetzel</t>
  </si>
  <si>
    <t>MSCI</t>
  </si>
  <si>
    <t>http://www.microsoft.com</t>
  </si>
  <si>
    <t>www.microsoft.com</t>
  </si>
  <si>
    <t>MICROSOFT</t>
  </si>
  <si>
    <t>Microsoft</t>
  </si>
  <si>
    <t>Computer Software</t>
  </si>
  <si>
    <t>$245,122</t>
  </si>
  <si>
    <t>$88,136</t>
  </si>
  <si>
    <t>$512,163</t>
  </si>
  <si>
    <t>Commitment removed</t>
  </si>
  <si>
    <t>Carbon negative</t>
  </si>
  <si>
    <t>Carbon Neutral</t>
  </si>
  <si>
    <t>We are committed to being carbon negative by 2030 and by 2050 to remove from the atmosphere an equivalent amount of all the carbon dioxide our company has emitted either directly or by our electricity consumption since we were founded in 1975.
Our carbon negative commitment includes three primary areas: reducing carbon emissions, increasing use of carbon-free electricity, and carbon removal.
Reducing Direct Emissions: We will reduce our Scope 1 and 2 emissions to near zero by increasing energy efficiency, decarbonization of our operations, and reaching 100% renewable energy by 2025. 
Reducing Value Chain Emissions: By 2030, Microsoft will remove more carbon than it emits.
Replacing with 100/100/0 carbon-free energy: By 2030, we will reduce our Scope 3 emissions by more than half from a 2020 baseline. 
Removing the rest of our emissions: By 2030, 100% of our electricity consumption will be matched by zero carbon energy purchases 100% of the time.</t>
  </si>
  <si>
    <t>Yes (unspecified)</t>
  </si>
  <si>
    <t/>
  </si>
  <si>
    <t>C, V</t>
  </si>
  <si>
    <t>001200000079DM0AAM</t>
  </si>
  <si>
    <t>United Parcel Service, Inc.</t>
  </si>
  <si>
    <t>Atlanta</t>
  </si>
  <si>
    <t>GA</t>
  </si>
  <si>
    <t>Transportation and logistics</t>
  </si>
  <si>
    <t>Postal and Couriers</t>
  </si>
  <si>
    <t>Sierra Fowler</t>
  </si>
  <si>
    <t>http://www.ups.com</t>
  </si>
  <si>
    <t>www.ups.com</t>
  </si>
  <si>
    <t>UNITED PARCEL SERVICE</t>
  </si>
  <si>
    <t>United Parcel Service</t>
  </si>
  <si>
    <t>Delivery</t>
  </si>
  <si>
    <t>$91,070</t>
  </si>
  <si>
    <t>$5,782</t>
  </si>
  <si>
    <t>$70,070</t>
  </si>
  <si>
    <t>Carbon neutral(ity)</t>
  </si>
  <si>
    <t>We have defined interim goals for 2025 and 2035 to demonstrate progress towards our overarching goal of achieving carbon neutrality by 2050. We are committed to providing updates on our progress towards achieving our goals. UPS's decarbonization transition plans enabled the Company to make progress during 2024 towards achieving our sustainability goals. In 2024, UPS's total gross scope 1, 2 and 3 CO2e emissions were 24,877 ('000) tonnes, which was 2.1% below 2023.</t>
  </si>
  <si>
    <t>Sustainability Plan of PetrÃ³leos Mexicanos clearly sets out Pemexâ€™s emission reduction targets to 2030 and, in line with the</t>
  </si>
  <si>
    <t>00120000008IafAAAS</t>
  </si>
  <si>
    <t>Bank of America Corporation</t>
  </si>
  <si>
    <t>New Client</t>
  </si>
  <si>
    <t>Charlotte</t>
  </si>
  <si>
    <t>NC</t>
  </si>
  <si>
    <t>Jennifer Gerholdt</t>
  </si>
  <si>
    <t>www.bankofamerica.com</t>
  </si>
  <si>
    <t>BANK OF AMERICA</t>
  </si>
  <si>
    <t>Bank of America</t>
  </si>
  <si>
    <t>Megabanks</t>
  </si>
  <si>
    <t>$192,434</t>
  </si>
  <si>
    <t>$27,132</t>
  </si>
  <si>
    <t>$3,261,519</t>
  </si>
  <si>
    <t>' Net Zero emissions before 2050 for our financing activities, operations and supply chain. ' p7</t>
  </si>
  <si>
    <t>V, F</t>
  </si>
  <si>
    <t>U</t>
  </si>
  <si>
    <t>00120000009G3bIAAS</t>
  </si>
  <si>
    <t>Metro Group</t>
  </si>
  <si>
    <t>Professional Services</t>
  </si>
  <si>
    <t>James White</t>
  </si>
  <si>
    <t>http://www.metrobroadcast.com/</t>
  </si>
  <si>
    <t>www.metrobroadcast.com</t>
  </si>
  <si>
    <t>METRO</t>
  </si>
  <si>
    <t>Metro</t>
  </si>
  <si>
    <t>Wholesalers: Food and Grocery</t>
  </si>
  <si>
    <t>Food, beverages and agriculture</t>
  </si>
  <si>
    <t>$33,614.1</t>
  </si>
  <si>
    <t>$2,498.8</t>
  </si>
  <si>
    <t>$47,773.1</t>
  </si>
  <si>
    <t>Committed</t>
  </si>
  <si>
    <t>Emissions reduction target</t>
  </si>
  <si>
    <t>Other Emission Reduction</t>
  </si>
  <si>
    <t>We plan to make our global business operations climate-neutral by 2040</t>
  </si>
  <si>
    <t>https://reports.metroag.de/annual-report/2023-2024/combined-management-report/principles-of-the-group/combined-non-financial-statement/environmental-matters.html</t>
  </si>
  <si>
    <t>Not specified</t>
  </si>
  <si>
    <t>"METRO‚Äôs new near-term science-based targets (SBT), which have yet to be approved by the Science Based Targets initiative (SBTi), are consistent with the level of decarbonization required to keep global temperature increases to 1.5°C  compared to pre-industrial temperatures. Our targets with a 2023 base year will consist of:
‚Ä¢ [SBT1] Reducing absolute scope 1 and scope 2 greenhouse gas (GHG) emissions by 42% by 2030;
‚Ä¢ [SBT2] Having 45% of our suppliers by spend with science-based targets by 2028;
‚Ä¢ [SBT3] Reducing absolute scope 3 GHG emissions from purchases of goods and services by 25% by 2030;
‚Ä¢ [SBT4] Reducing absolute scope 3 GHG emissions from downstream transportation and distribution by 25% by 2030; and
‚Ä¢ [SBT5] Reducing scope 3 FLAG GHG emissions by 30% by 2030."
- GHG EMISSIONS INFO SHEET, Update December 2024</t>
  </si>
  <si>
    <t>0012000000AR7xSAAT</t>
  </si>
  <si>
    <t>Intel Corporation</t>
  </si>
  <si>
    <t>Chandler</t>
  </si>
  <si>
    <t>AZ</t>
  </si>
  <si>
    <t>01/01/2040</t>
  </si>
  <si>
    <t>intel.com</t>
  </si>
  <si>
    <t>www.intel.com</t>
  </si>
  <si>
    <t>INTEL</t>
  </si>
  <si>
    <t>Intel</t>
  </si>
  <si>
    <t>Semiconductors and Other Electronic Components</t>
  </si>
  <si>
    <t>$53,101</t>
  </si>
  <si>
    <t>$-18,756</t>
  </si>
  <si>
    <t>$196,485</t>
  </si>
  <si>
    <t>Partial</t>
  </si>
  <si>
    <t>1,2</t>
  </si>
  <si>
    <t>'Achieve net zero by 2040 (Scope 1 and 2).' (p. 65, 2022-23 CSR Report)
'We expanded our commitment to net-zero GHG emissions and set a goal to achieve net-zero upstream Scope 3 GHG emissions by 2050.' (https://www.intel.com/content/www/us/en/environment/sustainability.html)</t>
  </si>
  <si>
    <t xml:space="preserve"> 2040</t>
  </si>
  <si>
    <t>0012000000IgnORAAZ</t>
  </si>
  <si>
    <t>Accenture Pte LTD</t>
  </si>
  <si>
    <t>Singapore</t>
  </si>
  <si>
    <t>http://www.accenture.com</t>
  </si>
  <si>
    <t>www.accenture.com</t>
  </si>
  <si>
    <t>ACCENTURE</t>
  </si>
  <si>
    <t>Accenture</t>
  </si>
  <si>
    <t>Information Technology Services</t>
  </si>
  <si>
    <t>Ireland</t>
  </si>
  <si>
    <t>$64,896.5</t>
  </si>
  <si>
    <t>$7,264.8</t>
  </si>
  <si>
    <t>$55,932.4</t>
  </si>
  <si>
    <t>"We continue to work toward our 2025 carbon removal goal by first focusing on reductions across our Scope 1, 2 and 3 emissions and then removing any remaining emissions through nature-based carbon removal projects." (P.43, 360¬∞ Value Report 2024)</t>
  </si>
  <si>
    <t>2040 2025</t>
  </si>
  <si>
    <t>0012000000qEetXAAS</t>
  </si>
  <si>
    <t>Accenture LLP</t>
  </si>
  <si>
    <t>Chicago</t>
  </si>
  <si>
    <t>IL</t>
  </si>
  <si>
    <t>Business Consultancy</t>
  </si>
  <si>
    <t>accenture.com</t>
  </si>
  <si>
    <t>0014J00000bTkTRQA0</t>
  </si>
  <si>
    <t>Accenture, Inc</t>
  </si>
  <si>
    <t>Mandaluyong City</t>
  </si>
  <si>
    <t>Philippines</t>
  </si>
  <si>
    <t>0014J00000eJShxQAG</t>
  </si>
  <si>
    <t>Saint-Gobain</t>
  </si>
  <si>
    <t>Courbevoie</t>
  </si>
  <si>
    <t>�le-de-France</t>
  </si>
  <si>
    <t>France</t>
  </si>
  <si>
    <t>Metals and Mining</t>
  </si>
  <si>
    <t>Sam Skuse</t>
  </si>
  <si>
    <t>saint-gobain.com</t>
  </si>
  <si>
    <t>www.saint-gobain.com</t>
  </si>
  <si>
    <t>SAINT GOBAIN</t>
  </si>
  <si>
    <t>Building Materials, Glass</t>
  </si>
  <si>
    <t>$50,363.4</t>
  </si>
  <si>
    <t>$3,075.6</t>
  </si>
  <si>
    <t>$63,903.5</t>
  </si>
  <si>
    <t>Saint-Gobain commits to reduce absolute scope 1 and 2 GHG emissions 33% by 2030 from a 2017 base year. Saint-Gobain also commits to reduce absolute scope 3 GHG emissions ‚Ä¶ 16% within the same timeframe. Saint-Gobain further commits to reduce absolute scope 1, 2 and 3 GHG emissions 90% by 2050 from a 2017 base year.</t>
  </si>
  <si>
    <t>0014J00000eJSpGQAW</t>
  </si>
  <si>
    <t>FedEx Corporation</t>
  </si>
  <si>
    <t>Memphis</t>
  </si>
  <si>
    <t>TN</t>
  </si>
  <si>
    <t>fedex.com</t>
  </si>
  <si>
    <t>www.fedex.com</t>
  </si>
  <si>
    <t>FEDEX</t>
  </si>
  <si>
    <t>FedEx</t>
  </si>
  <si>
    <t>$87,693</t>
  </si>
  <si>
    <t>$4,331</t>
  </si>
  <si>
    <t>$87,007</t>
  </si>
  <si>
    <t>0014J00000eJTjYQAW</t>
  </si>
  <si>
    <t>Medtronic</t>
  </si>
  <si>
    <t>Retail</t>
  </si>
  <si>
    <t>Shaira Romero</t>
  </si>
  <si>
    <t>medtronic.com</t>
  </si>
  <si>
    <t>MEDTRONIC</t>
  </si>
  <si>
    <t>Medical Products and Equipment</t>
  </si>
  <si>
    <t>Health care and pharmaceuticals</t>
  </si>
  <si>
    <t>$32,364</t>
  </si>
  <si>
    <t>$3,676</t>
  </si>
  <si>
    <t>$89,981</t>
  </si>
  <si>
    <t>We aim to achieve net carbon neutrality across our operations by FY30 by maximizing our use of renewable energy and minimizing our direct (our own buildings, transportation, and production-related activities) and indirect (purchased or consumed electricity or heat) carbon dioxide emissions.</t>
  </si>
  <si>
    <t>https://www.medtronic.com/en-us/our-impact/renewable-energy.html#:~:text=Our%20goal%20is%20to%20eliminate,value%20chain%20to%20zero%20by%C2%A0FY45</t>
  </si>
  <si>
    <t xml:space="preserve">‚ÄúTo address the climate crisis, Medtronic has set an ambition to achieve net‚ÄØzero carbon emissions by fiscal year (FY)‚ÄØ2045 across its operations and value chain (scopes‚ÄØ1,‚ÄØ2, and‚ÄØ3). Achieving net‚ÄØzero carbon emissions will be no easy feat, but the environmental and health benefits justify‚ÄØthe‚ÄØeffort.‚Äù 
‚ÄúWe have a goal of becoming carbon neutral in our operations by fiscal year‚ÄØ2030, and to reduce carbon emissions to net zero in our operations, supply chain, and logistics by fiscal year‚ÄØ2045. To achieve the ambition, we created a Decarbonization Roadmap and will pursue setting carbon emission reduction targets across scopes‚ÄØ1,‚ÄØ2, and‚ÄØ3.‚Äù
Source: https://web.archive.org/web/20250714214025/https://europe.medtronic.com/xd-en/our-impact/carbon-reduction.html
</t>
  </si>
  <si>
    <t xml:space="preserve"> 2045</t>
  </si>
  <si>
    <t>0014J00000eJTjwQAG</t>
  </si>
  <si>
    <t>Mondelez International</t>
  </si>
  <si>
    <t>Deerfield</t>
  </si>
  <si>
    <t>Bita Carrico</t>
  </si>
  <si>
    <t>mondelezinternational.com</t>
  </si>
  <si>
    <t>www.mondelezinternational.com</t>
  </si>
  <si>
    <t>MONDELEZ INTERNATIONAL</t>
  </si>
  <si>
    <t>Consumer Food Products</t>
  </si>
  <si>
    <t>$36,441</t>
  </si>
  <si>
    <t>$4,611</t>
  </si>
  <si>
    <t>$68,497</t>
  </si>
  <si>
    <t>'In April 2024, the SBTi successfully validated our full value chain goal to reduce absolute end-to-end CO2e emissions by about 35% by 2030 and to reach net-zero by 2050 from a 2018 base year, including the reduction of absolute gross scope 1 and 2 GHG emissions by 50.4% within the same timeframe, in line with the 1.5¬∫C reduction pathway.' (p19)</t>
  </si>
  <si>
    <t>001P2000003W1ddIAC</t>
  </si>
  <si>
    <t>001P2000009Cy1eIAC</t>
  </si>
  <si>
    <t>Ford Motor Company</t>
  </si>
  <si>
    <t>Dearborn</t>
  </si>
  <si>
    <t>Michigan</t>
  </si>
  <si>
    <t>Automotive</t>
  </si>
  <si>
    <t>Katie Vigilante</t>
  </si>
  <si>
    <t>www.ford.com</t>
  </si>
  <si>
    <t>FORD MOTOR</t>
  </si>
  <si>
    <t>Ford Motor</t>
  </si>
  <si>
    <t>Motor Vehicles</t>
  </si>
  <si>
    <t>$184,992</t>
  </si>
  <si>
    <t>$5,879</t>
  </si>
  <si>
    <t>$285,196</t>
  </si>
  <si>
    <t>1.5°C / Well-below 2°C</t>
  </si>
  <si>
    <t>Achieve carbon neutrality by 2050
https://web.archive.org/web/20251010223020/https://corporate.ford.com//corporate/articles/sustainability/ford-expands-climate-change-goals/</t>
  </si>
  <si>
    <t>001w000001SDbJGAA1</t>
  </si>
  <si>
    <t>NVIDIA</t>
  </si>
  <si>
    <t>Santa Clara</t>
  </si>
  <si>
    <t>CA</t>
  </si>
  <si>
    <t>USA</t>
  </si>
  <si>
    <t>Targets Set</t>
  </si>
  <si>
    <t>http://www.nvidia.com</t>
  </si>
  <si>
    <t>www.nvidia.com</t>
  </si>
  <si>
    <t>Nvidia</t>
  </si>
  <si>
    <t>Semiconductors</t>
  </si>
  <si>
    <t>$130,497</t>
  </si>
  <si>
    <t>$72,880</t>
  </si>
  <si>
    <t>$111,601</t>
  </si>
  <si>
    <t>We commit to the following science-
based targets from a FY23 base year:
&gt; To reduce absolute scope 1 and 2 
emissions 50% by FY30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</si>
</sst>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1"/>
      <color rgb="FFFF0000"/>
      <name val="Calibri"/>
      <family val="2"/>
      <scheme val="minor"/>
    </font>
    <font>
      <b/>
      <sz val="11"/>
      <color rgb="FFFF0000"/>
      <name val="Calibri"/>
      <family val="2"/>
    </font>
  </fonts>
  <fills count="6">
    <fill>
      <patternFill patternType="none"/>
    </fill>
    <fill>
      <patternFill patternType="gray125"/>
    </fill>
    <fill>
      <patternFill patternType="solid">
        <fgColor theme="7" tint="0.79998168889431442"/>
        <bgColor indexed="64"/>
      </patternFill>
    </fill>
    <fill>
      <patternFill patternType="solid">
        <fgColor theme="3" tint="0.79998168889431442"/>
        <bgColor indexed="64"/>
      </patternFill>
    </fill>
    <fill>
      <patternFill patternType="solid">
        <fgColor rgb="FFFFDDEE"/>
        <bgColor indexed="64"/>
      </patternFill>
    </fill>
    <fill>
      <patternFill patternType="solid">
        <fgColor rgb="FFD5EFE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xf numFmtId="0" fontId="1" fillId="3" borderId="1" xfId="0" applyFont="1" applyFill="1" applyBorder="1" applyAlignment="1">
      <alignment horizontal="center" vertical="top"/>
    </xf>
    <xf numFmtId="0" fontId="0" fillId="3" borderId="0" xfId="0" applyFill="1"/>
    <xf numFmtId="0" fontId="1" fillId="4" borderId="1" xfId="0" applyFont="1" applyFill="1" applyBorder="1" applyAlignment="1">
      <alignment horizontal="center" vertical="top"/>
    </xf>
    <xf numFmtId="0" fontId="0" fillId="4" borderId="0" xfId="0" applyFill="1"/>
    <xf numFmtId="0" fontId="1" fillId="5" borderId="1" xfId="0" applyFont="1" applyFill="1" applyBorder="1" applyAlignment="1">
      <alignment horizontal="center" vertical="top"/>
    </xf>
    <xf numFmtId="0" fontId="0" fillId="5" borderId="0" xfId="0" applyFill="1"/>
    <xf numFmtId="0" fontId="3"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colors>
    <mruColors>
      <color rgb="FFFFDDEE"/>
      <color rgb="FFD5EF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Y21"/>
  <sheetViews>
    <sheetView tabSelected="1" zoomScale="69" workbookViewId="0">
      <selection activeCell="BW20" sqref="BW20"/>
    </sheetView>
  </sheetViews>
  <sheetFormatPr defaultRowHeight="14.5" x14ac:dyDescent="0.35"/>
  <cols>
    <col min="4" max="56" width="0" hidden="1" customWidth="1"/>
    <col min="57" max="57" width="8.7265625" style="7"/>
    <col min="58" max="63" width="0" hidden="1" customWidth="1"/>
    <col min="64" max="64" width="8.7265625" style="9"/>
    <col min="81" max="81" width="8.7265625" style="3"/>
    <col min="85" max="85" width="8.7265625" style="5"/>
    <col min="99" max="99" width="8.7265625" style="7"/>
    <col min="103" max="103" width="8.7265625" style="9"/>
    <col min="117" max="156" width="0" hidden="1" customWidth="1"/>
  </cols>
  <sheetData>
    <row r="1" spans="1:15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6" t="s">
        <v>56</v>
      </c>
      <c r="BF1" s="1" t="s">
        <v>57</v>
      </c>
      <c r="BG1" s="1" t="s">
        <v>58</v>
      </c>
      <c r="BH1" s="1" t="s">
        <v>59</v>
      </c>
      <c r="BI1" s="1" t="s">
        <v>60</v>
      </c>
      <c r="BJ1" s="1" t="s">
        <v>61</v>
      </c>
      <c r="BK1" s="1" t="s">
        <v>62</v>
      </c>
      <c r="BL1" s="8"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2" t="s">
        <v>80</v>
      </c>
      <c r="CD1" s="1" t="s">
        <v>81</v>
      </c>
      <c r="CE1" s="1" t="s">
        <v>82</v>
      </c>
      <c r="CF1" s="1" t="s">
        <v>83</v>
      </c>
      <c r="CG1" s="4" t="s">
        <v>84</v>
      </c>
      <c r="CH1" s="1" t="s">
        <v>85</v>
      </c>
      <c r="CI1" s="1" t="s">
        <v>86</v>
      </c>
      <c r="CJ1" s="1" t="s">
        <v>87</v>
      </c>
      <c r="CK1" s="1" t="s">
        <v>88</v>
      </c>
      <c r="CL1" s="1" t="s">
        <v>89</v>
      </c>
      <c r="CM1" s="1" t="s">
        <v>90</v>
      </c>
      <c r="CN1" s="1" t="s">
        <v>91</v>
      </c>
      <c r="CO1" s="1" t="s">
        <v>92</v>
      </c>
      <c r="CP1" s="1" t="s">
        <v>93</v>
      </c>
      <c r="CQ1" s="1" t="s">
        <v>94</v>
      </c>
      <c r="CR1" s="1" t="s">
        <v>95</v>
      </c>
      <c r="CS1" s="1" t="s">
        <v>96</v>
      </c>
      <c r="CT1" s="1" t="s">
        <v>97</v>
      </c>
      <c r="CU1" s="6" t="s">
        <v>98</v>
      </c>
      <c r="CV1" s="1" t="s">
        <v>99</v>
      </c>
      <c r="CW1" s="1" t="s">
        <v>100</v>
      </c>
      <c r="CX1" s="1" t="s">
        <v>101</v>
      </c>
      <c r="CY1" s="8" t="s">
        <v>102</v>
      </c>
      <c r="CZ1" s="1" t="s">
        <v>103</v>
      </c>
      <c r="DA1" s="1" t="s">
        <v>104</v>
      </c>
      <c r="DB1" s="1" t="s">
        <v>105</v>
      </c>
      <c r="DC1" s="1" t="s">
        <v>106</v>
      </c>
      <c r="DD1" s="1" t="s">
        <v>107</v>
      </c>
      <c r="DE1" s="1" t="s">
        <v>108</v>
      </c>
      <c r="DF1" s="1" t="s">
        <v>109</v>
      </c>
      <c r="DG1" s="1" t="s">
        <v>110</v>
      </c>
      <c r="DH1" s="1" t="s">
        <v>111</v>
      </c>
      <c r="DI1" s="1" t="s">
        <v>112</v>
      </c>
      <c r="DJ1" s="10" t="s">
        <v>113</v>
      </c>
      <c r="DK1" s="10" t="s">
        <v>114</v>
      </c>
      <c r="DL1" s="10"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row>
    <row r="2" spans="1:155" x14ac:dyDescent="0.35">
      <c r="A2" t="s">
        <v>155</v>
      </c>
      <c r="B2" t="s">
        <v>156</v>
      </c>
      <c r="C2" t="s">
        <v>157</v>
      </c>
      <c r="D2" t="s">
        <v>158</v>
      </c>
      <c r="E2" t="s">
        <v>159</v>
      </c>
      <c r="F2" t="s">
        <v>160</v>
      </c>
      <c r="G2" t="s">
        <v>161</v>
      </c>
      <c r="I2" t="s">
        <v>162</v>
      </c>
      <c r="P2" t="s">
        <v>163</v>
      </c>
      <c r="Q2" t="s">
        <v>164</v>
      </c>
      <c r="R2" t="s">
        <v>165</v>
      </c>
      <c r="S2" t="s">
        <v>166</v>
      </c>
      <c r="T2">
        <v>370</v>
      </c>
      <c r="U2">
        <v>398</v>
      </c>
      <c r="V2" t="s">
        <v>167</v>
      </c>
      <c r="W2" t="s">
        <v>168</v>
      </c>
      <c r="X2" t="s">
        <v>169</v>
      </c>
      <c r="Y2" t="s">
        <v>170</v>
      </c>
      <c r="Z2" t="s">
        <v>171</v>
      </c>
      <c r="AA2" t="s">
        <v>172</v>
      </c>
      <c r="AB2" t="s">
        <v>173</v>
      </c>
      <c r="AC2">
        <v>-0.128</v>
      </c>
      <c r="AD2" t="s">
        <v>174</v>
      </c>
      <c r="AE2">
        <v>579126</v>
      </c>
      <c r="AF2">
        <v>23</v>
      </c>
      <c r="AG2" t="s">
        <v>175</v>
      </c>
      <c r="AJ2" t="s">
        <v>176</v>
      </c>
      <c r="AK2" t="s">
        <v>176</v>
      </c>
      <c r="AL2" t="s">
        <v>177</v>
      </c>
      <c r="AM2" t="s">
        <v>178</v>
      </c>
      <c r="AN2">
        <v>2030</v>
      </c>
      <c r="AO2" t="s">
        <v>177</v>
      </c>
      <c r="AP2" t="s">
        <v>178</v>
      </c>
      <c r="AQ2">
        <v>2050</v>
      </c>
      <c r="AR2" t="s">
        <v>176</v>
      </c>
      <c r="AS2" t="s">
        <v>177</v>
      </c>
      <c r="AT2">
        <v>2050</v>
      </c>
      <c r="AV2" t="s">
        <v>179</v>
      </c>
      <c r="AW2" t="s">
        <v>180</v>
      </c>
      <c r="AX2" t="s">
        <v>181</v>
      </c>
      <c r="AY2" t="s">
        <v>181</v>
      </c>
      <c r="AZ2" t="s">
        <v>181</v>
      </c>
      <c r="BA2" t="s">
        <v>182</v>
      </c>
      <c r="BC2" t="s">
        <v>175</v>
      </c>
      <c r="BH2" t="s">
        <v>183</v>
      </c>
      <c r="BI2" t="s">
        <v>176</v>
      </c>
      <c r="BJ2" t="s">
        <v>182</v>
      </c>
      <c r="BK2" t="s">
        <v>184</v>
      </c>
      <c r="BL2" s="9">
        <v>2050</v>
      </c>
      <c r="BO2" t="s">
        <v>181</v>
      </c>
      <c r="BP2" t="s">
        <v>185</v>
      </c>
      <c r="BQ2" t="s">
        <v>186</v>
      </c>
      <c r="BR2" t="s">
        <v>175</v>
      </c>
      <c r="BZ2">
        <v>0</v>
      </c>
      <c r="CA2">
        <v>0</v>
      </c>
      <c r="CB2">
        <v>0</v>
      </c>
      <c r="CC2" s="3">
        <v>0</v>
      </c>
      <c r="CD2">
        <v>0</v>
      </c>
      <c r="CE2">
        <v>1</v>
      </c>
      <c r="CF2">
        <v>0</v>
      </c>
      <c r="CG2" s="5">
        <v>1</v>
      </c>
      <c r="CH2">
        <v>0</v>
      </c>
      <c r="CI2">
        <v>0</v>
      </c>
      <c r="CJ2">
        <v>1</v>
      </c>
      <c r="CK2">
        <v>0</v>
      </c>
      <c r="CL2">
        <v>0</v>
      </c>
      <c r="CM2">
        <v>1</v>
      </c>
      <c r="CN2">
        <v>0</v>
      </c>
      <c r="CO2">
        <v>0</v>
      </c>
      <c r="CP2">
        <v>0</v>
      </c>
      <c r="CQ2">
        <v>0</v>
      </c>
      <c r="CR2">
        <v>0</v>
      </c>
      <c r="CS2">
        <v>0</v>
      </c>
      <c r="CT2">
        <v>0</v>
      </c>
      <c r="CU2" s="7">
        <v>0</v>
      </c>
      <c r="CV2">
        <v>0</v>
      </c>
      <c r="CW2">
        <v>0</v>
      </c>
      <c r="CX2">
        <v>1</v>
      </c>
      <c r="CY2" s="9">
        <v>1</v>
      </c>
      <c r="CZ2">
        <v>1</v>
      </c>
      <c r="DA2">
        <v>1</v>
      </c>
      <c r="DB2">
        <v>0</v>
      </c>
      <c r="DC2">
        <v>0</v>
      </c>
      <c r="DD2">
        <v>0</v>
      </c>
      <c r="DE2">
        <v>0</v>
      </c>
      <c r="DF2">
        <v>1</v>
      </c>
      <c r="DG2">
        <v>1</v>
      </c>
      <c r="DH2">
        <v>2</v>
      </c>
      <c r="DI2">
        <v>1</v>
      </c>
      <c r="DJ2" s="11">
        <v>1</v>
      </c>
      <c r="DK2" s="11">
        <v>0</v>
      </c>
      <c r="DL2" s="11">
        <v>0</v>
      </c>
      <c r="DM2">
        <v>1</v>
      </c>
      <c r="DN2" t="s">
        <v>187</v>
      </c>
      <c r="DO2">
        <v>2050</v>
      </c>
      <c r="DP2">
        <v>0</v>
      </c>
      <c r="DQ2">
        <v>1</v>
      </c>
      <c r="DR2">
        <v>0</v>
      </c>
      <c r="DS2">
        <v>1</v>
      </c>
      <c r="DT2">
        <v>0</v>
      </c>
      <c r="DU2">
        <v>0</v>
      </c>
      <c r="DV2">
        <v>1</v>
      </c>
      <c r="DW2">
        <v>1</v>
      </c>
      <c r="DX2">
        <v>0</v>
      </c>
      <c r="DY2">
        <v>1</v>
      </c>
      <c r="DZ2">
        <v>0</v>
      </c>
      <c r="EA2">
        <v>1</v>
      </c>
      <c r="EB2">
        <v>0</v>
      </c>
      <c r="EC2">
        <v>0</v>
      </c>
      <c r="ED2">
        <v>0</v>
      </c>
      <c r="EE2">
        <v>0</v>
      </c>
      <c r="EF2">
        <v>1</v>
      </c>
      <c r="EG2">
        <v>1</v>
      </c>
      <c r="EH2">
        <v>1</v>
      </c>
      <c r="EI2">
        <v>1</v>
      </c>
      <c r="EJ2">
        <v>0</v>
      </c>
      <c r="EK2">
        <v>1</v>
      </c>
      <c r="EL2">
        <v>0</v>
      </c>
      <c r="EM2" t="s">
        <v>176</v>
      </c>
      <c r="EN2" t="s">
        <v>186</v>
      </c>
      <c r="EO2" t="s">
        <v>188</v>
      </c>
      <c r="EP2" t="s">
        <v>189</v>
      </c>
      <c r="EQ2" t="s">
        <v>176</v>
      </c>
      <c r="ER2" t="s">
        <v>176</v>
      </c>
      <c r="ES2" t="s">
        <v>176</v>
      </c>
      <c r="ET2" t="s">
        <v>177</v>
      </c>
      <c r="EU2" t="s">
        <v>176</v>
      </c>
      <c r="EV2" t="s">
        <v>175</v>
      </c>
      <c r="EW2" t="s">
        <v>181</v>
      </c>
      <c r="EY2">
        <v>2050</v>
      </c>
    </row>
    <row r="3" spans="1:155" x14ac:dyDescent="0.35">
      <c r="A3" t="s">
        <v>190</v>
      </c>
      <c r="B3" t="s">
        <v>191</v>
      </c>
      <c r="C3" t="s">
        <v>157</v>
      </c>
      <c r="D3" t="s">
        <v>192</v>
      </c>
      <c r="F3" t="s">
        <v>193</v>
      </c>
      <c r="G3" t="s">
        <v>194</v>
      </c>
      <c r="H3" t="s">
        <v>195</v>
      </c>
      <c r="I3" t="s">
        <v>196</v>
      </c>
      <c r="Q3" t="s">
        <v>197</v>
      </c>
      <c r="R3" t="s">
        <v>198</v>
      </c>
      <c r="S3" t="s">
        <v>199</v>
      </c>
      <c r="T3">
        <v>177</v>
      </c>
      <c r="U3">
        <v>205</v>
      </c>
      <c r="V3" t="s">
        <v>200</v>
      </c>
      <c r="W3" t="s">
        <v>201</v>
      </c>
      <c r="X3" t="s">
        <v>202</v>
      </c>
      <c r="Y3" t="s">
        <v>203</v>
      </c>
      <c r="Z3" t="s">
        <v>171</v>
      </c>
      <c r="AA3" t="s">
        <v>204</v>
      </c>
      <c r="AB3" t="s">
        <v>205</v>
      </c>
      <c r="AC3">
        <v>-0.314</v>
      </c>
      <c r="AD3" t="s">
        <v>206</v>
      </c>
      <c r="AE3">
        <v>89753</v>
      </c>
      <c r="AF3">
        <v>31</v>
      </c>
      <c r="AG3" t="s">
        <v>176</v>
      </c>
      <c r="AH3">
        <v>2022</v>
      </c>
      <c r="AI3">
        <v>2025</v>
      </c>
      <c r="AJ3" t="s">
        <v>175</v>
      </c>
      <c r="AK3" t="s">
        <v>175</v>
      </c>
      <c r="AV3" t="s">
        <v>179</v>
      </c>
      <c r="AW3" t="s">
        <v>180</v>
      </c>
      <c r="AX3" t="s">
        <v>181</v>
      </c>
      <c r="AY3" t="s">
        <v>181</v>
      </c>
      <c r="AZ3" t="s">
        <v>181</v>
      </c>
      <c r="BA3" t="s">
        <v>182</v>
      </c>
      <c r="BC3" t="s">
        <v>175</v>
      </c>
      <c r="BH3" t="s">
        <v>183</v>
      </c>
      <c r="BI3" t="s">
        <v>176</v>
      </c>
      <c r="BJ3" t="s">
        <v>182</v>
      </c>
      <c r="BK3" t="s">
        <v>207</v>
      </c>
      <c r="BL3" s="9">
        <v>2050</v>
      </c>
      <c r="BO3" t="s">
        <v>181</v>
      </c>
      <c r="BP3" t="s">
        <v>208</v>
      </c>
      <c r="BQ3" t="s">
        <v>186</v>
      </c>
      <c r="BR3" t="s">
        <v>175</v>
      </c>
      <c r="BZ3">
        <v>1</v>
      </c>
      <c r="CA3">
        <v>0</v>
      </c>
      <c r="CB3">
        <v>0</v>
      </c>
      <c r="CC3" s="3">
        <v>1</v>
      </c>
      <c r="CD3">
        <v>0</v>
      </c>
      <c r="CE3">
        <v>0</v>
      </c>
      <c r="CF3">
        <v>0</v>
      </c>
      <c r="CG3" s="5">
        <v>0</v>
      </c>
      <c r="CH3">
        <v>0</v>
      </c>
      <c r="CI3">
        <v>0</v>
      </c>
      <c r="CJ3">
        <v>0</v>
      </c>
      <c r="CK3">
        <v>0</v>
      </c>
      <c r="CL3">
        <v>0</v>
      </c>
      <c r="CM3">
        <v>1</v>
      </c>
      <c r="CN3">
        <v>0</v>
      </c>
      <c r="CO3">
        <v>0</v>
      </c>
      <c r="CP3">
        <v>0</v>
      </c>
      <c r="CQ3">
        <v>0</v>
      </c>
      <c r="CR3">
        <v>0</v>
      </c>
      <c r="CS3">
        <v>0</v>
      </c>
      <c r="CT3">
        <v>0</v>
      </c>
      <c r="CU3" s="7">
        <v>0</v>
      </c>
      <c r="CV3">
        <v>0</v>
      </c>
      <c r="CW3">
        <v>0</v>
      </c>
      <c r="CX3">
        <v>1</v>
      </c>
      <c r="CY3" s="9">
        <v>1</v>
      </c>
      <c r="CZ3">
        <v>1</v>
      </c>
      <c r="DA3">
        <v>1</v>
      </c>
      <c r="DB3">
        <v>0</v>
      </c>
      <c r="DC3">
        <v>0</v>
      </c>
      <c r="DD3">
        <v>0</v>
      </c>
      <c r="DE3">
        <v>1</v>
      </c>
      <c r="DF3">
        <v>0</v>
      </c>
      <c r="DG3">
        <v>1</v>
      </c>
      <c r="DH3">
        <v>2</v>
      </c>
      <c r="DI3">
        <v>1</v>
      </c>
      <c r="DJ3" s="11">
        <v>1</v>
      </c>
      <c r="DK3" s="11">
        <v>0</v>
      </c>
      <c r="DL3" s="11">
        <v>0</v>
      </c>
      <c r="DN3" t="s">
        <v>209</v>
      </c>
      <c r="DO3">
        <v>2050</v>
      </c>
      <c r="DP3">
        <v>0</v>
      </c>
      <c r="DQ3">
        <v>0</v>
      </c>
      <c r="DR3">
        <v>0</v>
      </c>
      <c r="DS3">
        <v>0</v>
      </c>
      <c r="DT3">
        <v>0</v>
      </c>
      <c r="DU3">
        <v>0</v>
      </c>
      <c r="DV3">
        <v>1</v>
      </c>
      <c r="DW3">
        <v>1</v>
      </c>
      <c r="DX3">
        <v>0</v>
      </c>
      <c r="DY3">
        <v>0</v>
      </c>
      <c r="DZ3">
        <v>0</v>
      </c>
      <c r="EA3">
        <v>0</v>
      </c>
      <c r="EB3">
        <v>0</v>
      </c>
      <c r="EC3">
        <v>1</v>
      </c>
      <c r="ED3">
        <v>0</v>
      </c>
      <c r="EE3">
        <v>1</v>
      </c>
      <c r="EF3">
        <v>1</v>
      </c>
      <c r="EG3">
        <v>0</v>
      </c>
      <c r="EH3">
        <v>1</v>
      </c>
      <c r="EI3">
        <v>1</v>
      </c>
      <c r="EJ3">
        <v>0</v>
      </c>
      <c r="EK3">
        <v>1</v>
      </c>
      <c r="EL3">
        <v>0</v>
      </c>
      <c r="EM3" t="s">
        <v>175</v>
      </c>
      <c r="EN3">
        <v>0</v>
      </c>
      <c r="EO3" t="s">
        <v>189</v>
      </c>
      <c r="EP3" t="s">
        <v>175</v>
      </c>
      <c r="EQ3">
        <v>0</v>
      </c>
      <c r="ER3" t="s">
        <v>176</v>
      </c>
      <c r="ES3" t="s">
        <v>175</v>
      </c>
      <c r="EU3" t="s">
        <v>176</v>
      </c>
      <c r="EV3" t="s">
        <v>175</v>
      </c>
      <c r="EW3" t="s">
        <v>181</v>
      </c>
      <c r="EY3">
        <v>2050</v>
      </c>
    </row>
    <row r="4" spans="1:155" x14ac:dyDescent="0.35">
      <c r="A4" t="s">
        <v>210</v>
      </c>
      <c r="B4" t="s">
        <v>211</v>
      </c>
      <c r="C4" t="s">
        <v>157</v>
      </c>
      <c r="D4" t="s">
        <v>212</v>
      </c>
      <c r="E4" t="s">
        <v>213</v>
      </c>
      <c r="F4" t="s">
        <v>214</v>
      </c>
      <c r="G4" t="s">
        <v>215</v>
      </c>
      <c r="H4" t="s">
        <v>216</v>
      </c>
      <c r="I4" t="s">
        <v>217</v>
      </c>
      <c r="L4" t="s">
        <v>181</v>
      </c>
      <c r="Q4" t="s">
        <v>218</v>
      </c>
      <c r="R4" t="s">
        <v>219</v>
      </c>
      <c r="S4" t="s">
        <v>220</v>
      </c>
      <c r="T4">
        <v>275</v>
      </c>
      <c r="U4">
        <v>269</v>
      </c>
      <c r="V4" t="s">
        <v>220</v>
      </c>
      <c r="W4" t="s">
        <v>221</v>
      </c>
      <c r="X4" t="s">
        <v>215</v>
      </c>
      <c r="Y4" t="s">
        <v>222</v>
      </c>
      <c r="Z4" t="s">
        <v>223</v>
      </c>
      <c r="AA4" t="s">
        <v>224</v>
      </c>
      <c r="AB4" t="s">
        <v>225</v>
      </c>
      <c r="AC4">
        <v>-0.15</v>
      </c>
      <c r="AD4" t="s">
        <v>226</v>
      </c>
      <c r="AE4">
        <v>58000</v>
      </c>
      <c r="AF4">
        <v>31</v>
      </c>
      <c r="AG4" t="s">
        <v>176</v>
      </c>
      <c r="AH4">
        <v>2016</v>
      </c>
      <c r="AI4">
        <v>2025</v>
      </c>
      <c r="AJ4" t="s">
        <v>176</v>
      </c>
      <c r="AK4" t="s">
        <v>176</v>
      </c>
      <c r="AL4" t="s">
        <v>177</v>
      </c>
      <c r="AM4" t="s">
        <v>178</v>
      </c>
      <c r="AN4">
        <v>2030</v>
      </c>
      <c r="AO4" t="s">
        <v>177</v>
      </c>
      <c r="AP4" t="s">
        <v>178</v>
      </c>
      <c r="AQ4">
        <v>2040</v>
      </c>
      <c r="AR4" t="s">
        <v>176</v>
      </c>
      <c r="AS4" t="s">
        <v>177</v>
      </c>
      <c r="AT4">
        <v>2040</v>
      </c>
      <c r="AV4" t="s">
        <v>179</v>
      </c>
      <c r="AW4" t="s">
        <v>180</v>
      </c>
      <c r="AX4" t="s">
        <v>181</v>
      </c>
      <c r="AY4" t="s">
        <v>181</v>
      </c>
      <c r="AZ4" t="s">
        <v>181</v>
      </c>
      <c r="BA4" t="s">
        <v>182</v>
      </c>
      <c r="BC4" t="s">
        <v>175</v>
      </c>
      <c r="BH4" t="s">
        <v>183</v>
      </c>
      <c r="BI4" t="s">
        <v>176</v>
      </c>
      <c r="BJ4" t="s">
        <v>182</v>
      </c>
      <c r="BK4" t="s">
        <v>227</v>
      </c>
      <c r="BL4" s="9">
        <v>2040</v>
      </c>
      <c r="BO4" t="s">
        <v>181</v>
      </c>
      <c r="BP4" t="s">
        <v>185</v>
      </c>
      <c r="BQ4" t="s">
        <v>186</v>
      </c>
      <c r="BR4" t="s">
        <v>175</v>
      </c>
      <c r="BZ4">
        <v>1</v>
      </c>
      <c r="CA4">
        <v>0</v>
      </c>
      <c r="CB4">
        <v>0</v>
      </c>
      <c r="CC4" s="3">
        <v>1</v>
      </c>
      <c r="CD4">
        <v>0</v>
      </c>
      <c r="CE4">
        <v>1</v>
      </c>
      <c r="CF4">
        <v>0</v>
      </c>
      <c r="CG4" s="5">
        <v>1</v>
      </c>
      <c r="CH4">
        <v>0</v>
      </c>
      <c r="CI4">
        <v>0</v>
      </c>
      <c r="CJ4">
        <v>1</v>
      </c>
      <c r="CK4">
        <v>0</v>
      </c>
      <c r="CL4">
        <v>0</v>
      </c>
      <c r="CM4">
        <v>1</v>
      </c>
      <c r="CN4">
        <v>0</v>
      </c>
      <c r="CO4">
        <v>0</v>
      </c>
      <c r="CP4">
        <v>0</v>
      </c>
      <c r="CQ4">
        <v>0</v>
      </c>
      <c r="CR4">
        <v>0</v>
      </c>
      <c r="CS4">
        <v>0</v>
      </c>
      <c r="CT4">
        <v>0</v>
      </c>
      <c r="CU4" s="7">
        <v>0</v>
      </c>
      <c r="CV4">
        <v>0</v>
      </c>
      <c r="CW4">
        <v>0</v>
      </c>
      <c r="CX4">
        <v>1</v>
      </c>
      <c r="CY4" s="9">
        <v>1</v>
      </c>
      <c r="CZ4">
        <v>1</v>
      </c>
      <c r="DA4">
        <v>1</v>
      </c>
      <c r="DB4">
        <v>0</v>
      </c>
      <c r="DC4">
        <v>0</v>
      </c>
      <c r="DD4">
        <v>0</v>
      </c>
      <c r="DE4">
        <v>1</v>
      </c>
      <c r="DF4">
        <v>1</v>
      </c>
      <c r="DG4">
        <v>1</v>
      </c>
      <c r="DH4">
        <v>3</v>
      </c>
      <c r="DI4">
        <v>1</v>
      </c>
      <c r="DJ4" s="11">
        <v>1</v>
      </c>
      <c r="DK4" s="11">
        <v>0</v>
      </c>
      <c r="DL4" s="11">
        <v>0</v>
      </c>
      <c r="DM4">
        <v>1</v>
      </c>
      <c r="DN4" t="s">
        <v>228</v>
      </c>
      <c r="DO4">
        <v>2040</v>
      </c>
      <c r="DP4">
        <v>0</v>
      </c>
      <c r="DQ4">
        <v>1</v>
      </c>
      <c r="DR4">
        <v>0</v>
      </c>
      <c r="DS4">
        <v>1</v>
      </c>
      <c r="DT4">
        <v>0</v>
      </c>
      <c r="DU4">
        <v>0</v>
      </c>
      <c r="DV4">
        <v>1</v>
      </c>
      <c r="DW4">
        <v>1</v>
      </c>
      <c r="DX4">
        <v>0</v>
      </c>
      <c r="DY4">
        <v>1</v>
      </c>
      <c r="DZ4">
        <v>0</v>
      </c>
      <c r="EA4">
        <v>1</v>
      </c>
      <c r="EB4">
        <v>0</v>
      </c>
      <c r="EC4">
        <v>1</v>
      </c>
      <c r="ED4">
        <v>0</v>
      </c>
      <c r="EE4">
        <v>1</v>
      </c>
      <c r="EF4">
        <v>1</v>
      </c>
      <c r="EG4">
        <v>1</v>
      </c>
      <c r="EH4">
        <v>1</v>
      </c>
      <c r="EI4">
        <v>1</v>
      </c>
      <c r="EJ4">
        <v>0</v>
      </c>
      <c r="EK4">
        <v>1</v>
      </c>
      <c r="EL4">
        <v>0</v>
      </c>
      <c r="EM4" t="s">
        <v>176</v>
      </c>
      <c r="EN4" t="s">
        <v>181</v>
      </c>
      <c r="EO4" t="s">
        <v>188</v>
      </c>
      <c r="EP4" t="s">
        <v>189</v>
      </c>
      <c r="EQ4" t="s">
        <v>176</v>
      </c>
      <c r="ER4" t="s">
        <v>176</v>
      </c>
      <c r="ES4" t="s">
        <v>176</v>
      </c>
      <c r="ET4" t="s">
        <v>177</v>
      </c>
      <c r="EU4" t="s">
        <v>176</v>
      </c>
      <c r="EV4" t="s">
        <v>175</v>
      </c>
      <c r="EW4" t="s">
        <v>181</v>
      </c>
      <c r="EY4">
        <v>2040</v>
      </c>
    </row>
    <row r="5" spans="1:155" x14ac:dyDescent="0.35">
      <c r="A5" t="s">
        <v>229</v>
      </c>
      <c r="B5" t="s">
        <v>230</v>
      </c>
      <c r="C5" t="s">
        <v>157</v>
      </c>
      <c r="D5" t="s">
        <v>231</v>
      </c>
      <c r="E5" t="s">
        <v>232</v>
      </c>
      <c r="F5" t="s">
        <v>160</v>
      </c>
      <c r="G5" t="s">
        <v>215</v>
      </c>
      <c r="H5" t="s">
        <v>216</v>
      </c>
      <c r="I5" t="s">
        <v>217</v>
      </c>
      <c r="P5" t="s">
        <v>163</v>
      </c>
      <c r="Q5" t="s">
        <v>233</v>
      </c>
      <c r="R5" t="s">
        <v>234</v>
      </c>
      <c r="S5" t="s">
        <v>235</v>
      </c>
      <c r="T5">
        <v>111</v>
      </c>
      <c r="U5">
        <v>133</v>
      </c>
      <c r="V5" t="s">
        <v>230</v>
      </c>
      <c r="W5" t="s">
        <v>221</v>
      </c>
      <c r="X5" t="s">
        <v>215</v>
      </c>
      <c r="Y5" t="s">
        <v>222</v>
      </c>
      <c r="Z5" t="s">
        <v>223</v>
      </c>
      <c r="AA5" t="s">
        <v>236</v>
      </c>
      <c r="AB5" t="s">
        <v>237</v>
      </c>
      <c r="AC5">
        <v>0.35499999999999998</v>
      </c>
      <c r="AD5" t="s">
        <v>238</v>
      </c>
      <c r="AE5">
        <v>108000</v>
      </c>
      <c r="AF5">
        <v>25</v>
      </c>
      <c r="AG5" t="s">
        <v>176</v>
      </c>
      <c r="AH5">
        <v>2019</v>
      </c>
      <c r="AI5">
        <v>2040</v>
      </c>
      <c r="AJ5" t="s">
        <v>176</v>
      </c>
      <c r="AK5" t="s">
        <v>176</v>
      </c>
      <c r="AL5" t="s">
        <v>177</v>
      </c>
      <c r="AM5" t="s">
        <v>178</v>
      </c>
      <c r="AN5">
        <v>2031</v>
      </c>
      <c r="AO5" t="s">
        <v>177</v>
      </c>
      <c r="AP5" t="s">
        <v>178</v>
      </c>
      <c r="AQ5">
        <v>2051</v>
      </c>
      <c r="AR5" t="s">
        <v>176</v>
      </c>
      <c r="AS5" t="s">
        <v>177</v>
      </c>
      <c r="AT5">
        <v>2051</v>
      </c>
      <c r="AV5" t="s">
        <v>179</v>
      </c>
      <c r="AW5" t="s">
        <v>180</v>
      </c>
      <c r="AX5" t="s">
        <v>181</v>
      </c>
      <c r="AY5" t="s">
        <v>181</v>
      </c>
      <c r="AZ5" t="s">
        <v>181</v>
      </c>
      <c r="BA5" t="s">
        <v>182</v>
      </c>
      <c r="BC5" t="s">
        <v>175</v>
      </c>
      <c r="BH5" t="s">
        <v>183</v>
      </c>
      <c r="BI5" t="s">
        <v>176</v>
      </c>
      <c r="BJ5" t="s">
        <v>182</v>
      </c>
      <c r="BK5" t="s">
        <v>239</v>
      </c>
      <c r="BL5" s="9">
        <v>2050</v>
      </c>
      <c r="BO5" t="s">
        <v>208</v>
      </c>
      <c r="BP5" t="s">
        <v>186</v>
      </c>
      <c r="BQ5" t="s">
        <v>186</v>
      </c>
      <c r="BR5" t="s">
        <v>175</v>
      </c>
      <c r="BZ5">
        <v>0</v>
      </c>
      <c r="CA5">
        <v>0</v>
      </c>
      <c r="CB5">
        <v>1</v>
      </c>
      <c r="CC5" s="3">
        <v>1</v>
      </c>
      <c r="CD5">
        <v>0</v>
      </c>
      <c r="CE5">
        <v>0</v>
      </c>
      <c r="CF5">
        <v>1</v>
      </c>
      <c r="CG5" s="5">
        <v>1</v>
      </c>
      <c r="CH5">
        <v>0</v>
      </c>
      <c r="CI5">
        <v>0</v>
      </c>
      <c r="CJ5">
        <v>1</v>
      </c>
      <c r="CK5">
        <v>0</v>
      </c>
      <c r="CL5">
        <v>0</v>
      </c>
      <c r="CM5">
        <v>1</v>
      </c>
      <c r="CN5">
        <v>0</v>
      </c>
      <c r="CO5">
        <v>0</v>
      </c>
      <c r="CP5">
        <v>0</v>
      </c>
      <c r="CQ5">
        <v>0</v>
      </c>
      <c r="CR5">
        <v>0</v>
      </c>
      <c r="CS5">
        <v>0</v>
      </c>
      <c r="CT5">
        <v>0</v>
      </c>
      <c r="CU5" s="7">
        <v>0</v>
      </c>
      <c r="CV5">
        <v>0</v>
      </c>
      <c r="CW5">
        <v>0</v>
      </c>
      <c r="CX5">
        <v>1</v>
      </c>
      <c r="CY5" s="9">
        <v>1</v>
      </c>
      <c r="CZ5">
        <v>1</v>
      </c>
      <c r="DA5">
        <v>1</v>
      </c>
      <c r="DB5">
        <v>0</v>
      </c>
      <c r="DC5">
        <v>0</v>
      </c>
      <c r="DD5">
        <v>0</v>
      </c>
      <c r="DE5">
        <v>0</v>
      </c>
      <c r="DF5">
        <v>0</v>
      </c>
      <c r="DG5">
        <v>3</v>
      </c>
      <c r="DH5">
        <v>3</v>
      </c>
      <c r="DI5">
        <v>1</v>
      </c>
      <c r="DJ5" s="11">
        <v>0</v>
      </c>
      <c r="DK5" s="11">
        <v>0</v>
      </c>
      <c r="DL5" s="11">
        <v>1</v>
      </c>
      <c r="DN5" t="s">
        <v>240</v>
      </c>
      <c r="DO5">
        <v>2051</v>
      </c>
      <c r="DP5">
        <v>0</v>
      </c>
      <c r="DQ5">
        <v>0</v>
      </c>
      <c r="DR5">
        <v>0</v>
      </c>
      <c r="DS5">
        <v>0</v>
      </c>
      <c r="DT5">
        <v>0</v>
      </c>
      <c r="DU5">
        <v>0</v>
      </c>
      <c r="DV5">
        <v>1</v>
      </c>
      <c r="DW5">
        <v>1</v>
      </c>
      <c r="DX5">
        <v>0</v>
      </c>
      <c r="DY5">
        <v>0</v>
      </c>
      <c r="DZ5">
        <v>1</v>
      </c>
      <c r="EA5">
        <v>1</v>
      </c>
      <c r="EB5">
        <v>0</v>
      </c>
      <c r="EC5">
        <v>0</v>
      </c>
      <c r="ED5">
        <v>1</v>
      </c>
      <c r="EE5">
        <v>1</v>
      </c>
      <c r="EF5">
        <v>1</v>
      </c>
      <c r="EG5">
        <v>0</v>
      </c>
      <c r="EH5">
        <v>1</v>
      </c>
      <c r="EI5">
        <v>1</v>
      </c>
      <c r="EJ5">
        <v>0</v>
      </c>
      <c r="EK5">
        <v>1</v>
      </c>
      <c r="EL5">
        <v>0</v>
      </c>
      <c r="EM5" t="s">
        <v>176</v>
      </c>
      <c r="EN5" t="s">
        <v>181</v>
      </c>
      <c r="EO5" t="s">
        <v>188</v>
      </c>
      <c r="EP5" t="s">
        <v>175</v>
      </c>
      <c r="EQ5">
        <v>0</v>
      </c>
      <c r="ER5" t="s">
        <v>176</v>
      </c>
      <c r="ES5" t="s">
        <v>176</v>
      </c>
      <c r="ET5" t="s">
        <v>177</v>
      </c>
      <c r="EU5" t="s">
        <v>176</v>
      </c>
      <c r="EV5" t="s">
        <v>175</v>
      </c>
      <c r="EW5" t="s">
        <v>208</v>
      </c>
      <c r="EY5">
        <v>2051</v>
      </c>
    </row>
    <row r="6" spans="1:155" x14ac:dyDescent="0.35">
      <c r="A6" t="s">
        <v>241</v>
      </c>
      <c r="B6" t="s">
        <v>242</v>
      </c>
      <c r="C6" t="s">
        <v>157</v>
      </c>
      <c r="D6" t="s">
        <v>243</v>
      </c>
      <c r="E6" t="s">
        <v>244</v>
      </c>
      <c r="F6" t="s">
        <v>214</v>
      </c>
      <c r="G6" t="s">
        <v>215</v>
      </c>
      <c r="I6" t="s">
        <v>245</v>
      </c>
      <c r="P6" t="s">
        <v>246</v>
      </c>
      <c r="Q6" t="s">
        <v>247</v>
      </c>
      <c r="R6" t="s">
        <v>248</v>
      </c>
      <c r="S6" t="s">
        <v>249</v>
      </c>
      <c r="T6">
        <v>22</v>
      </c>
      <c r="U6">
        <v>26</v>
      </c>
      <c r="V6" t="s">
        <v>250</v>
      </c>
      <c r="W6" t="s">
        <v>251</v>
      </c>
      <c r="X6" t="s">
        <v>215</v>
      </c>
      <c r="Y6" t="s">
        <v>222</v>
      </c>
      <c r="Z6" t="s">
        <v>223</v>
      </c>
      <c r="AA6" t="s">
        <v>252</v>
      </c>
      <c r="AB6" t="s">
        <v>253</v>
      </c>
      <c r="AC6">
        <v>0.218</v>
      </c>
      <c r="AD6" t="s">
        <v>254</v>
      </c>
      <c r="AE6">
        <v>228000</v>
      </c>
      <c r="AF6">
        <v>28</v>
      </c>
      <c r="AG6" t="s">
        <v>176</v>
      </c>
      <c r="AH6">
        <v>2015</v>
      </c>
      <c r="AI6">
        <v>2014</v>
      </c>
      <c r="AJ6" t="s">
        <v>176</v>
      </c>
      <c r="AK6" t="s">
        <v>176</v>
      </c>
      <c r="AL6" t="s">
        <v>177</v>
      </c>
      <c r="AM6" t="s">
        <v>178</v>
      </c>
      <c r="AN6">
        <v>2030</v>
      </c>
      <c r="AR6" t="s">
        <v>175</v>
      </c>
      <c r="AS6" t="s">
        <v>255</v>
      </c>
      <c r="AV6" t="s">
        <v>256</v>
      </c>
      <c r="AW6" t="s">
        <v>257</v>
      </c>
      <c r="AX6" t="s">
        <v>181</v>
      </c>
      <c r="AY6" t="s">
        <v>181</v>
      </c>
      <c r="AZ6" t="s">
        <v>181</v>
      </c>
      <c r="BA6" t="s">
        <v>182</v>
      </c>
      <c r="BB6" t="s">
        <v>183</v>
      </c>
      <c r="BC6" t="s">
        <v>176</v>
      </c>
      <c r="BD6" t="s">
        <v>258</v>
      </c>
      <c r="BE6" s="7">
        <v>2030</v>
      </c>
      <c r="BI6" t="s">
        <v>175</v>
      </c>
      <c r="BO6" t="s">
        <v>181</v>
      </c>
      <c r="BP6" t="s">
        <v>259</v>
      </c>
      <c r="BQ6" t="s">
        <v>181</v>
      </c>
      <c r="BR6" t="s">
        <v>175</v>
      </c>
      <c r="BZ6">
        <v>1</v>
      </c>
      <c r="CA6">
        <v>0</v>
      </c>
      <c r="CB6">
        <v>0</v>
      </c>
      <c r="CC6" s="3">
        <v>1</v>
      </c>
      <c r="CD6">
        <v>0</v>
      </c>
      <c r="CE6">
        <v>1</v>
      </c>
      <c r="CF6">
        <v>0</v>
      </c>
      <c r="CG6" s="5">
        <v>1</v>
      </c>
      <c r="CH6">
        <v>0</v>
      </c>
      <c r="CI6">
        <v>0</v>
      </c>
      <c r="CJ6">
        <v>0</v>
      </c>
      <c r="CK6">
        <v>0</v>
      </c>
      <c r="CL6">
        <v>0</v>
      </c>
      <c r="CM6">
        <v>0</v>
      </c>
      <c r="CN6">
        <v>0</v>
      </c>
      <c r="CO6">
        <v>1</v>
      </c>
      <c r="CP6">
        <v>0</v>
      </c>
      <c r="CQ6">
        <v>0</v>
      </c>
      <c r="CR6">
        <v>1</v>
      </c>
      <c r="CS6">
        <v>0</v>
      </c>
      <c r="CT6">
        <v>1</v>
      </c>
      <c r="CU6" s="7">
        <v>1</v>
      </c>
      <c r="CV6">
        <v>0</v>
      </c>
      <c r="CW6">
        <v>0</v>
      </c>
      <c r="CX6">
        <v>0</v>
      </c>
      <c r="CY6" s="9">
        <v>0</v>
      </c>
      <c r="CZ6">
        <v>1</v>
      </c>
      <c r="DA6">
        <v>1</v>
      </c>
      <c r="DB6">
        <v>0</v>
      </c>
      <c r="DC6">
        <v>0</v>
      </c>
      <c r="DD6">
        <v>0</v>
      </c>
      <c r="DE6">
        <v>1</v>
      </c>
      <c r="DF6">
        <v>2</v>
      </c>
      <c r="DG6">
        <v>0</v>
      </c>
      <c r="DH6">
        <v>3</v>
      </c>
      <c r="DI6">
        <v>1</v>
      </c>
      <c r="DJ6" s="11">
        <v>1</v>
      </c>
      <c r="DK6" s="11">
        <v>0</v>
      </c>
      <c r="DL6" s="11">
        <v>0</v>
      </c>
      <c r="DM6">
        <v>1</v>
      </c>
      <c r="DN6" t="s">
        <v>260</v>
      </c>
      <c r="DO6">
        <v>0</v>
      </c>
      <c r="DP6">
        <v>1</v>
      </c>
      <c r="DQ6">
        <v>0</v>
      </c>
      <c r="DR6">
        <v>0</v>
      </c>
      <c r="DS6">
        <v>1</v>
      </c>
      <c r="DT6">
        <v>0</v>
      </c>
      <c r="DU6">
        <v>0</v>
      </c>
      <c r="DV6">
        <v>0</v>
      </c>
      <c r="DW6">
        <v>0</v>
      </c>
      <c r="DX6">
        <v>0</v>
      </c>
      <c r="DY6">
        <v>1</v>
      </c>
      <c r="DZ6">
        <v>0</v>
      </c>
      <c r="EA6">
        <v>1</v>
      </c>
      <c r="EB6">
        <v>1</v>
      </c>
      <c r="EC6">
        <v>0</v>
      </c>
      <c r="ED6">
        <v>0</v>
      </c>
      <c r="EE6">
        <v>1</v>
      </c>
      <c r="EF6">
        <v>1</v>
      </c>
      <c r="EG6">
        <v>1</v>
      </c>
      <c r="EH6">
        <v>1</v>
      </c>
      <c r="EI6">
        <v>1</v>
      </c>
      <c r="EJ6">
        <v>0</v>
      </c>
      <c r="EK6">
        <v>1</v>
      </c>
      <c r="EL6">
        <v>1</v>
      </c>
      <c r="EM6" t="s">
        <v>176</v>
      </c>
      <c r="EN6" t="s">
        <v>186</v>
      </c>
      <c r="EO6" t="s">
        <v>175</v>
      </c>
      <c r="EP6" t="s">
        <v>261</v>
      </c>
      <c r="EQ6" t="s">
        <v>176</v>
      </c>
      <c r="ER6">
        <v>0</v>
      </c>
      <c r="ES6" t="s">
        <v>176</v>
      </c>
      <c r="ET6" t="s">
        <v>255</v>
      </c>
      <c r="EU6" t="s">
        <v>175</v>
      </c>
      <c r="EV6" t="s">
        <v>176</v>
      </c>
      <c r="EW6" t="s">
        <v>181</v>
      </c>
      <c r="EY6">
        <v>0</v>
      </c>
    </row>
    <row r="7" spans="1:155" x14ac:dyDescent="0.35">
      <c r="A7" t="s">
        <v>262</v>
      </c>
      <c r="B7" t="s">
        <v>263</v>
      </c>
      <c r="C7" t="s">
        <v>157</v>
      </c>
      <c r="D7" t="s">
        <v>264</v>
      </c>
      <c r="E7" t="s">
        <v>265</v>
      </c>
      <c r="F7" t="s">
        <v>214</v>
      </c>
      <c r="G7" t="s">
        <v>266</v>
      </c>
      <c r="H7" t="s">
        <v>267</v>
      </c>
      <c r="I7" t="s">
        <v>268</v>
      </c>
      <c r="Q7" t="s">
        <v>269</v>
      </c>
      <c r="R7" t="s">
        <v>270</v>
      </c>
      <c r="S7" t="s">
        <v>271</v>
      </c>
      <c r="T7">
        <v>123</v>
      </c>
      <c r="U7">
        <v>124</v>
      </c>
      <c r="V7" t="s">
        <v>272</v>
      </c>
      <c r="W7" t="s">
        <v>273</v>
      </c>
      <c r="X7" t="s">
        <v>266</v>
      </c>
      <c r="Y7" t="s">
        <v>222</v>
      </c>
      <c r="Z7" t="s">
        <v>223</v>
      </c>
      <c r="AA7" t="s">
        <v>274</v>
      </c>
      <c r="AB7" t="s">
        <v>275</v>
      </c>
      <c r="AC7">
        <v>-0.13800000000000001</v>
      </c>
      <c r="AD7" t="s">
        <v>276</v>
      </c>
      <c r="AE7">
        <v>372180</v>
      </c>
      <c r="AF7">
        <v>31</v>
      </c>
      <c r="AG7" t="s">
        <v>175</v>
      </c>
      <c r="AJ7" t="s">
        <v>175</v>
      </c>
      <c r="AK7" t="s">
        <v>175</v>
      </c>
      <c r="AV7" t="s">
        <v>277</v>
      </c>
      <c r="AW7" t="s">
        <v>257</v>
      </c>
      <c r="AX7" t="s">
        <v>181</v>
      </c>
      <c r="AY7" t="s">
        <v>181</v>
      </c>
      <c r="AZ7" t="s">
        <v>181</v>
      </c>
      <c r="BA7" t="s">
        <v>182</v>
      </c>
      <c r="BB7" t="s">
        <v>183</v>
      </c>
      <c r="BC7" t="s">
        <v>176</v>
      </c>
      <c r="BD7" t="s">
        <v>278</v>
      </c>
      <c r="BE7" s="7">
        <v>2050</v>
      </c>
      <c r="BI7" t="s">
        <v>175</v>
      </c>
      <c r="BO7" t="s">
        <v>186</v>
      </c>
      <c r="BP7" t="s">
        <v>186</v>
      </c>
      <c r="BQ7" t="s">
        <v>186</v>
      </c>
      <c r="BR7" t="s">
        <v>175</v>
      </c>
      <c r="BV7" t="s">
        <v>279</v>
      </c>
      <c r="BZ7">
        <v>0</v>
      </c>
      <c r="CA7">
        <v>0</v>
      </c>
      <c r="CB7">
        <v>0</v>
      </c>
      <c r="CC7" s="3">
        <v>0</v>
      </c>
      <c r="CD7">
        <v>0</v>
      </c>
      <c r="CE7">
        <v>0</v>
      </c>
      <c r="CF7">
        <v>0</v>
      </c>
      <c r="CG7" s="5">
        <v>0</v>
      </c>
      <c r="CH7">
        <v>0</v>
      </c>
      <c r="CI7">
        <v>0</v>
      </c>
      <c r="CJ7">
        <v>0</v>
      </c>
      <c r="CK7">
        <v>0</v>
      </c>
      <c r="CL7">
        <v>0</v>
      </c>
      <c r="CM7">
        <v>0</v>
      </c>
      <c r="CN7">
        <v>0</v>
      </c>
      <c r="CO7">
        <v>0</v>
      </c>
      <c r="CP7">
        <v>1</v>
      </c>
      <c r="CQ7">
        <v>0</v>
      </c>
      <c r="CR7">
        <v>0</v>
      </c>
      <c r="CS7">
        <v>1</v>
      </c>
      <c r="CT7">
        <v>1</v>
      </c>
      <c r="CU7" s="7">
        <v>1</v>
      </c>
      <c r="CV7">
        <v>0</v>
      </c>
      <c r="CW7">
        <v>0</v>
      </c>
      <c r="CX7">
        <v>0</v>
      </c>
      <c r="CY7" s="9">
        <v>0</v>
      </c>
      <c r="CZ7">
        <v>1</v>
      </c>
      <c r="DA7">
        <v>1</v>
      </c>
      <c r="DB7">
        <v>0</v>
      </c>
      <c r="DC7">
        <v>0</v>
      </c>
      <c r="DD7">
        <v>0</v>
      </c>
      <c r="DE7">
        <v>0</v>
      </c>
      <c r="DF7">
        <v>0</v>
      </c>
      <c r="DG7">
        <v>1</v>
      </c>
      <c r="DH7">
        <v>1</v>
      </c>
      <c r="DI7">
        <v>1</v>
      </c>
      <c r="DJ7" s="11">
        <v>0</v>
      </c>
      <c r="DK7" s="11">
        <v>1</v>
      </c>
      <c r="DL7" s="11">
        <v>0</v>
      </c>
      <c r="DN7" t="s">
        <v>260</v>
      </c>
      <c r="DO7">
        <v>0</v>
      </c>
      <c r="DP7">
        <v>0</v>
      </c>
      <c r="DQ7">
        <v>0</v>
      </c>
      <c r="DR7">
        <v>1</v>
      </c>
      <c r="DS7">
        <v>1</v>
      </c>
      <c r="DT7">
        <v>0</v>
      </c>
      <c r="DU7">
        <v>0</v>
      </c>
      <c r="DV7">
        <v>0</v>
      </c>
      <c r="DW7">
        <v>0</v>
      </c>
      <c r="DX7">
        <v>0</v>
      </c>
      <c r="DY7">
        <v>0</v>
      </c>
      <c r="DZ7">
        <v>0</v>
      </c>
      <c r="EA7">
        <v>0</v>
      </c>
      <c r="EB7">
        <v>0</v>
      </c>
      <c r="EC7">
        <v>0</v>
      </c>
      <c r="ED7">
        <v>0</v>
      </c>
      <c r="EE7">
        <v>0</v>
      </c>
      <c r="EF7">
        <v>1</v>
      </c>
      <c r="EG7">
        <v>0</v>
      </c>
      <c r="EH7">
        <v>1</v>
      </c>
      <c r="EI7">
        <v>1</v>
      </c>
      <c r="EJ7">
        <v>0</v>
      </c>
      <c r="EK7">
        <v>1</v>
      </c>
      <c r="EL7">
        <v>0</v>
      </c>
      <c r="EM7" t="s">
        <v>175</v>
      </c>
      <c r="EN7">
        <v>0</v>
      </c>
      <c r="EO7" t="s">
        <v>175</v>
      </c>
      <c r="EP7" t="s">
        <v>188</v>
      </c>
      <c r="EQ7" t="s">
        <v>176</v>
      </c>
      <c r="ER7">
        <v>0</v>
      </c>
      <c r="ES7" t="s">
        <v>175</v>
      </c>
      <c r="EU7" t="s">
        <v>175</v>
      </c>
      <c r="EV7" t="s">
        <v>176</v>
      </c>
      <c r="EW7" t="s">
        <v>186</v>
      </c>
      <c r="EY7">
        <v>0</v>
      </c>
    </row>
    <row r="8" spans="1:155" x14ac:dyDescent="0.35">
      <c r="A8" t="s">
        <v>280</v>
      </c>
      <c r="B8" t="s">
        <v>281</v>
      </c>
      <c r="C8" t="s">
        <v>282</v>
      </c>
      <c r="D8" t="s">
        <v>283</v>
      </c>
      <c r="E8" t="s">
        <v>284</v>
      </c>
      <c r="F8" t="s">
        <v>214</v>
      </c>
      <c r="G8" t="s">
        <v>194</v>
      </c>
      <c r="H8" t="s">
        <v>195</v>
      </c>
      <c r="I8" t="s">
        <v>285</v>
      </c>
      <c r="Q8" t="s">
        <v>286</v>
      </c>
      <c r="R8" t="s">
        <v>286</v>
      </c>
      <c r="S8" t="s">
        <v>287</v>
      </c>
      <c r="T8">
        <v>34</v>
      </c>
      <c r="U8">
        <v>38</v>
      </c>
      <c r="V8" t="s">
        <v>288</v>
      </c>
      <c r="W8" t="s">
        <v>289</v>
      </c>
      <c r="X8" t="s">
        <v>202</v>
      </c>
      <c r="Y8" t="s">
        <v>222</v>
      </c>
      <c r="Z8" t="s">
        <v>223</v>
      </c>
      <c r="AA8" t="s">
        <v>290</v>
      </c>
      <c r="AB8" t="s">
        <v>291</v>
      </c>
      <c r="AC8">
        <v>2.3E-2</v>
      </c>
      <c r="AD8" t="s">
        <v>292</v>
      </c>
      <c r="AE8">
        <v>213193</v>
      </c>
      <c r="AF8">
        <v>31</v>
      </c>
      <c r="AG8" t="s">
        <v>175</v>
      </c>
      <c r="AJ8" t="s">
        <v>175</v>
      </c>
      <c r="AK8" t="s">
        <v>175</v>
      </c>
      <c r="AV8" t="s">
        <v>179</v>
      </c>
      <c r="AW8" t="s">
        <v>180</v>
      </c>
      <c r="AX8" t="s">
        <v>181</v>
      </c>
      <c r="AY8" t="s">
        <v>181</v>
      </c>
      <c r="AZ8" t="s">
        <v>181</v>
      </c>
      <c r="BA8" t="s">
        <v>182</v>
      </c>
      <c r="BC8" t="s">
        <v>175</v>
      </c>
      <c r="BH8" t="s">
        <v>183</v>
      </c>
      <c r="BI8" t="s">
        <v>176</v>
      </c>
      <c r="BJ8" t="s">
        <v>182</v>
      </c>
      <c r="BK8" t="s">
        <v>293</v>
      </c>
      <c r="BL8" s="9">
        <v>2050</v>
      </c>
      <c r="BO8" t="s">
        <v>181</v>
      </c>
      <c r="BP8" t="s">
        <v>208</v>
      </c>
      <c r="BQ8" t="s">
        <v>186</v>
      </c>
      <c r="BR8" t="s">
        <v>175</v>
      </c>
      <c r="BZ8">
        <v>0</v>
      </c>
      <c r="CA8">
        <v>0</v>
      </c>
      <c r="CB8">
        <v>0</v>
      </c>
      <c r="CC8" s="3">
        <v>0</v>
      </c>
      <c r="CD8">
        <v>0</v>
      </c>
      <c r="CE8">
        <v>0</v>
      </c>
      <c r="CF8">
        <v>0</v>
      </c>
      <c r="CG8" s="5">
        <v>0</v>
      </c>
      <c r="CH8">
        <v>0</v>
      </c>
      <c r="CI8">
        <v>0</v>
      </c>
      <c r="CJ8">
        <v>0</v>
      </c>
      <c r="CK8">
        <v>0</v>
      </c>
      <c r="CL8">
        <v>0</v>
      </c>
      <c r="CM8">
        <v>1</v>
      </c>
      <c r="CN8">
        <v>0</v>
      </c>
      <c r="CO8">
        <v>0</v>
      </c>
      <c r="CP8">
        <v>0</v>
      </c>
      <c r="CQ8">
        <v>0</v>
      </c>
      <c r="CR8">
        <v>0</v>
      </c>
      <c r="CS8">
        <v>0</v>
      </c>
      <c r="CT8">
        <v>0</v>
      </c>
      <c r="CU8" s="7">
        <v>0</v>
      </c>
      <c r="CV8">
        <v>0</v>
      </c>
      <c r="CW8">
        <v>0</v>
      </c>
      <c r="CX8">
        <v>1</v>
      </c>
      <c r="CY8" s="9">
        <v>1</v>
      </c>
      <c r="CZ8">
        <v>1</v>
      </c>
      <c r="DA8">
        <v>1</v>
      </c>
      <c r="DB8">
        <v>0</v>
      </c>
      <c r="DC8">
        <v>0</v>
      </c>
      <c r="DD8">
        <v>0</v>
      </c>
      <c r="DE8">
        <v>0</v>
      </c>
      <c r="DF8">
        <v>0</v>
      </c>
      <c r="DG8">
        <v>1</v>
      </c>
      <c r="DH8">
        <v>1</v>
      </c>
      <c r="DI8">
        <v>1</v>
      </c>
      <c r="DJ8" s="11">
        <v>1</v>
      </c>
      <c r="DK8" s="11">
        <v>0</v>
      </c>
      <c r="DL8" s="11">
        <v>0</v>
      </c>
      <c r="DN8" t="s">
        <v>209</v>
      </c>
      <c r="DO8">
        <v>2050</v>
      </c>
      <c r="DP8">
        <v>1</v>
      </c>
      <c r="DQ8">
        <v>0</v>
      </c>
      <c r="DR8">
        <v>0</v>
      </c>
      <c r="DS8">
        <v>1</v>
      </c>
      <c r="DT8">
        <v>0</v>
      </c>
      <c r="DU8">
        <v>1</v>
      </c>
      <c r="DV8">
        <v>0</v>
      </c>
      <c r="DW8">
        <v>1</v>
      </c>
      <c r="DX8">
        <v>0</v>
      </c>
      <c r="DY8">
        <v>0</v>
      </c>
      <c r="DZ8">
        <v>0</v>
      </c>
      <c r="EA8">
        <v>0</v>
      </c>
      <c r="EB8">
        <v>0</v>
      </c>
      <c r="EC8">
        <v>0</v>
      </c>
      <c r="ED8">
        <v>0</v>
      </c>
      <c r="EE8">
        <v>0</v>
      </c>
      <c r="EF8">
        <v>1</v>
      </c>
      <c r="EG8">
        <v>1</v>
      </c>
      <c r="EH8">
        <v>1</v>
      </c>
      <c r="EI8">
        <v>1</v>
      </c>
      <c r="EJ8">
        <v>0</v>
      </c>
      <c r="EK8">
        <v>1</v>
      </c>
      <c r="EL8">
        <v>1</v>
      </c>
      <c r="EM8" t="s">
        <v>175</v>
      </c>
      <c r="EN8">
        <v>0</v>
      </c>
      <c r="EO8" t="s">
        <v>294</v>
      </c>
      <c r="EP8" t="s">
        <v>189</v>
      </c>
      <c r="EQ8" t="s">
        <v>176</v>
      </c>
      <c r="ER8" t="s">
        <v>295</v>
      </c>
      <c r="ES8" t="s">
        <v>175</v>
      </c>
      <c r="EU8" t="s">
        <v>176</v>
      </c>
      <c r="EV8" t="s">
        <v>175</v>
      </c>
      <c r="EW8" t="s">
        <v>181</v>
      </c>
      <c r="EY8">
        <v>2050</v>
      </c>
    </row>
    <row r="9" spans="1:155" x14ac:dyDescent="0.35">
      <c r="A9" t="s">
        <v>296</v>
      </c>
      <c r="B9" t="s">
        <v>297</v>
      </c>
      <c r="C9" t="s">
        <v>157</v>
      </c>
      <c r="G9" t="s">
        <v>298</v>
      </c>
      <c r="I9" t="s">
        <v>299</v>
      </c>
      <c r="Q9" t="s">
        <v>300</v>
      </c>
      <c r="R9" t="s">
        <v>301</v>
      </c>
      <c r="S9" t="s">
        <v>302</v>
      </c>
      <c r="T9">
        <v>477</v>
      </c>
      <c r="U9">
        <v>494</v>
      </c>
      <c r="V9" t="s">
        <v>303</v>
      </c>
      <c r="W9" t="s">
        <v>304</v>
      </c>
      <c r="X9" t="s">
        <v>305</v>
      </c>
      <c r="Y9" t="s">
        <v>203</v>
      </c>
      <c r="Z9" t="s">
        <v>171</v>
      </c>
      <c r="AA9" t="s">
        <v>306</v>
      </c>
      <c r="AB9" t="s">
        <v>307</v>
      </c>
      <c r="AC9">
        <v>8.3000000000000004E-2</v>
      </c>
      <c r="AD9" t="s">
        <v>308</v>
      </c>
      <c r="AE9">
        <v>100000</v>
      </c>
      <c r="AF9">
        <v>26</v>
      </c>
      <c r="AG9" t="s">
        <v>175</v>
      </c>
      <c r="AJ9" t="s">
        <v>176</v>
      </c>
      <c r="AK9" t="s">
        <v>175</v>
      </c>
      <c r="AL9" t="s">
        <v>309</v>
      </c>
      <c r="AN9">
        <v>2030</v>
      </c>
      <c r="AV9" t="s">
        <v>310</v>
      </c>
      <c r="AW9" t="s">
        <v>311</v>
      </c>
      <c r="AX9" t="s">
        <v>181</v>
      </c>
      <c r="AY9" t="s">
        <v>181</v>
      </c>
      <c r="AZ9" t="s">
        <v>181</v>
      </c>
      <c r="BA9" t="s">
        <v>182</v>
      </c>
      <c r="BB9" t="s">
        <v>183</v>
      </c>
      <c r="BC9" t="s">
        <v>176</v>
      </c>
      <c r="BD9" t="s">
        <v>312</v>
      </c>
      <c r="BE9" s="7">
        <v>2040</v>
      </c>
      <c r="BF9" t="s">
        <v>313</v>
      </c>
      <c r="BI9" t="s">
        <v>175</v>
      </c>
      <c r="BO9" t="s">
        <v>314</v>
      </c>
      <c r="BP9" t="s">
        <v>186</v>
      </c>
      <c r="BQ9" t="s">
        <v>186</v>
      </c>
      <c r="BR9" t="s">
        <v>176</v>
      </c>
      <c r="BS9" t="s">
        <v>315</v>
      </c>
      <c r="BT9">
        <v>2030</v>
      </c>
      <c r="BZ9">
        <v>0</v>
      </c>
      <c r="CA9">
        <v>0</v>
      </c>
      <c r="CB9">
        <v>0</v>
      </c>
      <c r="CC9" s="3">
        <v>0</v>
      </c>
      <c r="CD9">
        <v>0</v>
      </c>
      <c r="CE9">
        <v>0</v>
      </c>
      <c r="CF9">
        <v>0</v>
      </c>
      <c r="CG9" s="5">
        <v>0</v>
      </c>
      <c r="CH9">
        <v>0</v>
      </c>
      <c r="CI9">
        <v>0</v>
      </c>
      <c r="CJ9">
        <v>0</v>
      </c>
      <c r="CK9">
        <v>0</v>
      </c>
      <c r="CL9">
        <v>0</v>
      </c>
      <c r="CM9">
        <v>0</v>
      </c>
      <c r="CN9">
        <v>0</v>
      </c>
      <c r="CO9">
        <v>0</v>
      </c>
      <c r="CP9">
        <v>1</v>
      </c>
      <c r="CQ9">
        <v>0</v>
      </c>
      <c r="CR9">
        <v>0</v>
      </c>
      <c r="CS9">
        <v>1</v>
      </c>
      <c r="CT9">
        <v>1</v>
      </c>
      <c r="CU9" s="7">
        <v>1</v>
      </c>
      <c r="CV9">
        <v>0</v>
      </c>
      <c r="CW9">
        <v>0</v>
      </c>
      <c r="CX9">
        <v>0</v>
      </c>
      <c r="CY9" s="9">
        <v>0</v>
      </c>
      <c r="CZ9">
        <v>1</v>
      </c>
      <c r="DA9">
        <v>1</v>
      </c>
      <c r="DB9">
        <v>0</v>
      </c>
      <c r="DC9">
        <v>1</v>
      </c>
      <c r="DD9">
        <v>0</v>
      </c>
      <c r="DE9">
        <v>0</v>
      </c>
      <c r="DF9">
        <v>0</v>
      </c>
      <c r="DG9">
        <v>1</v>
      </c>
      <c r="DH9">
        <v>1</v>
      </c>
      <c r="DI9">
        <v>1</v>
      </c>
      <c r="DJ9" s="11">
        <v>0</v>
      </c>
      <c r="DK9" s="11">
        <v>0</v>
      </c>
      <c r="DL9" s="11">
        <v>1</v>
      </c>
      <c r="DM9">
        <v>1</v>
      </c>
      <c r="DN9" t="s">
        <v>260</v>
      </c>
      <c r="DO9">
        <v>0</v>
      </c>
      <c r="DP9">
        <v>0</v>
      </c>
      <c r="DQ9">
        <v>0</v>
      </c>
      <c r="DR9">
        <v>1</v>
      </c>
      <c r="DS9">
        <v>1</v>
      </c>
      <c r="DT9">
        <v>0</v>
      </c>
      <c r="DU9">
        <v>0</v>
      </c>
      <c r="DV9">
        <v>0</v>
      </c>
      <c r="DW9">
        <v>0</v>
      </c>
      <c r="DX9">
        <v>0</v>
      </c>
      <c r="DY9">
        <v>1</v>
      </c>
      <c r="DZ9">
        <v>0</v>
      </c>
      <c r="EA9">
        <v>1</v>
      </c>
      <c r="EB9">
        <v>0</v>
      </c>
      <c r="EC9">
        <v>0</v>
      </c>
      <c r="ED9">
        <v>0</v>
      </c>
      <c r="EE9">
        <v>0</v>
      </c>
      <c r="EF9">
        <v>1</v>
      </c>
      <c r="EG9">
        <v>0</v>
      </c>
      <c r="EH9">
        <v>1</v>
      </c>
      <c r="EI9">
        <v>0</v>
      </c>
      <c r="EJ9">
        <v>0</v>
      </c>
      <c r="EK9">
        <v>1</v>
      </c>
      <c r="EL9">
        <v>0</v>
      </c>
      <c r="EM9" t="s">
        <v>176</v>
      </c>
      <c r="EN9" t="s">
        <v>186</v>
      </c>
      <c r="EO9" t="s">
        <v>175</v>
      </c>
      <c r="EP9" t="s">
        <v>189</v>
      </c>
      <c r="EQ9" t="s">
        <v>295</v>
      </c>
      <c r="ER9" t="s">
        <v>175</v>
      </c>
      <c r="ES9" t="s">
        <v>176</v>
      </c>
      <c r="EU9" t="s">
        <v>175</v>
      </c>
      <c r="EV9" t="s">
        <v>176</v>
      </c>
      <c r="EW9" t="s">
        <v>314</v>
      </c>
      <c r="EY9">
        <v>0</v>
      </c>
    </row>
    <row r="10" spans="1:155" x14ac:dyDescent="0.35">
      <c r="A10" t="s">
        <v>316</v>
      </c>
      <c r="B10" t="s">
        <v>317</v>
      </c>
      <c r="C10" t="s">
        <v>157</v>
      </c>
      <c r="D10" t="s">
        <v>318</v>
      </c>
      <c r="E10" t="s">
        <v>319</v>
      </c>
      <c r="F10" t="s">
        <v>214</v>
      </c>
      <c r="G10" t="s">
        <v>215</v>
      </c>
      <c r="H10" t="s">
        <v>216</v>
      </c>
      <c r="I10" t="s">
        <v>285</v>
      </c>
      <c r="M10" t="s">
        <v>320</v>
      </c>
      <c r="Q10" t="s">
        <v>321</v>
      </c>
      <c r="R10" t="s">
        <v>322</v>
      </c>
      <c r="S10" t="s">
        <v>323</v>
      </c>
      <c r="T10">
        <v>280</v>
      </c>
      <c r="U10">
        <v>261</v>
      </c>
      <c r="V10" t="s">
        <v>324</v>
      </c>
      <c r="W10" t="s">
        <v>325</v>
      </c>
      <c r="X10" t="s">
        <v>215</v>
      </c>
      <c r="Y10" t="s">
        <v>222</v>
      </c>
      <c r="Z10" t="s">
        <v>223</v>
      </c>
      <c r="AA10" t="s">
        <v>326</v>
      </c>
      <c r="AB10" t="s">
        <v>327</v>
      </c>
      <c r="AC10">
        <v>-12.105</v>
      </c>
      <c r="AD10" t="s">
        <v>328</v>
      </c>
      <c r="AE10">
        <v>108900</v>
      </c>
      <c r="AF10">
        <v>31</v>
      </c>
      <c r="AG10" t="s">
        <v>176</v>
      </c>
      <c r="AH10">
        <v>2020</v>
      </c>
      <c r="AI10">
        <v>2030</v>
      </c>
      <c r="AJ10" t="s">
        <v>175</v>
      </c>
      <c r="AK10" t="s">
        <v>175</v>
      </c>
      <c r="AV10" t="s">
        <v>179</v>
      </c>
      <c r="AW10" t="s">
        <v>180</v>
      </c>
      <c r="AX10" t="s">
        <v>181</v>
      </c>
      <c r="AY10" t="s">
        <v>181</v>
      </c>
      <c r="AZ10" t="s">
        <v>329</v>
      </c>
      <c r="BA10" t="s">
        <v>330</v>
      </c>
      <c r="BC10" t="s">
        <v>175</v>
      </c>
      <c r="BH10" t="s">
        <v>189</v>
      </c>
      <c r="BI10" t="s">
        <v>176</v>
      </c>
      <c r="BJ10" t="s">
        <v>330</v>
      </c>
      <c r="BK10" t="s">
        <v>331</v>
      </c>
      <c r="BL10" s="9">
        <v>2040</v>
      </c>
      <c r="BO10" t="s">
        <v>181</v>
      </c>
      <c r="BP10" t="s">
        <v>259</v>
      </c>
      <c r="BQ10" t="s">
        <v>186</v>
      </c>
      <c r="BR10" t="s">
        <v>175</v>
      </c>
      <c r="BZ10">
        <v>0</v>
      </c>
      <c r="CA10">
        <v>1</v>
      </c>
      <c r="CB10">
        <v>0</v>
      </c>
      <c r="CC10" s="3">
        <v>1</v>
      </c>
      <c r="CD10">
        <v>0</v>
      </c>
      <c r="CE10">
        <v>0</v>
      </c>
      <c r="CF10">
        <v>0</v>
      </c>
      <c r="CG10" s="5">
        <v>0</v>
      </c>
      <c r="CH10">
        <v>0</v>
      </c>
      <c r="CI10">
        <v>0</v>
      </c>
      <c r="CJ10">
        <v>0</v>
      </c>
      <c r="CK10">
        <v>0</v>
      </c>
      <c r="CL10">
        <v>0</v>
      </c>
      <c r="CM10">
        <v>1</v>
      </c>
      <c r="CN10">
        <v>0</v>
      </c>
      <c r="CO10">
        <v>0</v>
      </c>
      <c r="CP10">
        <v>0</v>
      </c>
      <c r="CQ10">
        <v>0</v>
      </c>
      <c r="CR10">
        <v>0</v>
      </c>
      <c r="CS10">
        <v>0</v>
      </c>
      <c r="CT10">
        <v>0</v>
      </c>
      <c r="CU10" s="7">
        <v>0</v>
      </c>
      <c r="CV10">
        <v>0</v>
      </c>
      <c r="CW10">
        <v>0</v>
      </c>
      <c r="CX10">
        <v>1</v>
      </c>
      <c r="CY10" s="9">
        <v>1</v>
      </c>
      <c r="CZ10">
        <v>1</v>
      </c>
      <c r="DA10">
        <v>1</v>
      </c>
      <c r="DB10">
        <v>0</v>
      </c>
      <c r="DC10">
        <v>0</v>
      </c>
      <c r="DD10">
        <v>0</v>
      </c>
      <c r="DE10">
        <v>0</v>
      </c>
      <c r="DF10">
        <v>1</v>
      </c>
      <c r="DG10">
        <v>1</v>
      </c>
      <c r="DH10">
        <v>2</v>
      </c>
      <c r="DI10">
        <v>1</v>
      </c>
      <c r="DJ10" s="11">
        <v>1</v>
      </c>
      <c r="DK10" s="11">
        <v>0</v>
      </c>
      <c r="DL10" s="11">
        <v>0</v>
      </c>
      <c r="DN10" t="s">
        <v>332</v>
      </c>
      <c r="DO10">
        <v>2040</v>
      </c>
      <c r="DP10">
        <v>0</v>
      </c>
      <c r="DQ10">
        <v>0</v>
      </c>
      <c r="DR10">
        <v>0</v>
      </c>
      <c r="DS10">
        <v>0</v>
      </c>
      <c r="DT10">
        <v>0</v>
      </c>
      <c r="DU10">
        <v>0</v>
      </c>
      <c r="DV10">
        <v>1</v>
      </c>
      <c r="DW10">
        <v>1</v>
      </c>
      <c r="DX10">
        <v>0</v>
      </c>
      <c r="DY10">
        <v>0</v>
      </c>
      <c r="DZ10">
        <v>0</v>
      </c>
      <c r="EA10">
        <v>0</v>
      </c>
      <c r="EB10">
        <v>0</v>
      </c>
      <c r="EC10">
        <v>1</v>
      </c>
      <c r="ED10">
        <v>0</v>
      </c>
      <c r="EE10">
        <v>1</v>
      </c>
      <c r="EF10">
        <v>1</v>
      </c>
      <c r="EG10">
        <v>0</v>
      </c>
      <c r="EH10">
        <v>1</v>
      </c>
      <c r="EI10">
        <v>1</v>
      </c>
      <c r="EJ10">
        <v>0</v>
      </c>
      <c r="EK10">
        <v>1</v>
      </c>
      <c r="EL10">
        <v>0</v>
      </c>
      <c r="EM10" t="s">
        <v>175</v>
      </c>
      <c r="EN10">
        <v>0</v>
      </c>
      <c r="EO10" t="s">
        <v>189</v>
      </c>
      <c r="EP10" t="s">
        <v>175</v>
      </c>
      <c r="EQ10">
        <v>0</v>
      </c>
      <c r="ER10" t="s">
        <v>176</v>
      </c>
      <c r="ES10" t="s">
        <v>175</v>
      </c>
      <c r="EU10" t="s">
        <v>176</v>
      </c>
      <c r="EV10" t="s">
        <v>175</v>
      </c>
      <c r="EW10" t="s">
        <v>181</v>
      </c>
      <c r="EY10">
        <v>2040</v>
      </c>
    </row>
    <row r="11" spans="1:155" x14ac:dyDescent="0.35">
      <c r="A11" t="s">
        <v>333</v>
      </c>
      <c r="B11" t="s">
        <v>334</v>
      </c>
      <c r="C11" t="s">
        <v>157</v>
      </c>
      <c r="D11" t="s">
        <v>335</v>
      </c>
      <c r="F11" t="s">
        <v>335</v>
      </c>
      <c r="G11" t="s">
        <v>298</v>
      </c>
      <c r="I11" t="s">
        <v>245</v>
      </c>
      <c r="Q11" t="s">
        <v>336</v>
      </c>
      <c r="R11" t="s">
        <v>337</v>
      </c>
      <c r="S11" t="s">
        <v>338</v>
      </c>
      <c r="T11">
        <v>211</v>
      </c>
      <c r="U11">
        <v>211</v>
      </c>
      <c r="V11" t="s">
        <v>339</v>
      </c>
      <c r="W11" t="s">
        <v>340</v>
      </c>
      <c r="X11" t="s">
        <v>215</v>
      </c>
      <c r="Y11" t="s">
        <v>341</v>
      </c>
      <c r="Z11" t="s">
        <v>171</v>
      </c>
      <c r="AA11" t="s">
        <v>342</v>
      </c>
      <c r="AB11" t="s">
        <v>343</v>
      </c>
      <c r="AC11">
        <v>5.7000000000000002E-2</v>
      </c>
      <c r="AD11" t="s">
        <v>344</v>
      </c>
      <c r="AE11">
        <v>774303</v>
      </c>
      <c r="AF11">
        <v>24</v>
      </c>
      <c r="AG11" t="s">
        <v>176</v>
      </c>
      <c r="AH11">
        <v>2019</v>
      </c>
      <c r="AI11">
        <v>2023</v>
      </c>
      <c r="AJ11" t="s">
        <v>176</v>
      </c>
      <c r="AK11" t="s">
        <v>176</v>
      </c>
      <c r="AL11" t="s">
        <v>177</v>
      </c>
      <c r="AM11" t="s">
        <v>178</v>
      </c>
      <c r="AN11">
        <v>2030</v>
      </c>
      <c r="AO11" t="s">
        <v>177</v>
      </c>
      <c r="AP11" t="s">
        <v>178</v>
      </c>
      <c r="AQ11">
        <v>2040</v>
      </c>
      <c r="AR11" t="s">
        <v>176</v>
      </c>
      <c r="AS11" t="s">
        <v>177</v>
      </c>
      <c r="AT11">
        <v>2040</v>
      </c>
      <c r="AV11" t="s">
        <v>179</v>
      </c>
      <c r="AW11" t="s">
        <v>180</v>
      </c>
      <c r="AX11" t="s">
        <v>181</v>
      </c>
      <c r="AY11" t="s">
        <v>181</v>
      </c>
      <c r="AZ11" t="s">
        <v>181</v>
      </c>
      <c r="BA11" t="s">
        <v>182</v>
      </c>
      <c r="BC11" t="s">
        <v>175</v>
      </c>
      <c r="BH11" t="s">
        <v>183</v>
      </c>
      <c r="BI11" t="s">
        <v>176</v>
      </c>
      <c r="BJ11" t="s">
        <v>182</v>
      </c>
      <c r="BK11" t="s">
        <v>345</v>
      </c>
      <c r="BL11" s="9">
        <v>2025</v>
      </c>
      <c r="BO11" t="s">
        <v>208</v>
      </c>
      <c r="BP11" t="s">
        <v>185</v>
      </c>
      <c r="BQ11" t="s">
        <v>186</v>
      </c>
      <c r="BR11" t="s">
        <v>175</v>
      </c>
      <c r="BZ11">
        <v>1</v>
      </c>
      <c r="CA11">
        <v>0</v>
      </c>
      <c r="CB11">
        <v>0</v>
      </c>
      <c r="CC11" s="3">
        <v>1</v>
      </c>
      <c r="CD11">
        <v>0</v>
      </c>
      <c r="CE11">
        <v>1</v>
      </c>
      <c r="CF11">
        <v>0</v>
      </c>
      <c r="CG11" s="5">
        <v>1</v>
      </c>
      <c r="CH11">
        <v>0</v>
      </c>
      <c r="CI11">
        <v>0</v>
      </c>
      <c r="CJ11">
        <v>1</v>
      </c>
      <c r="CK11">
        <v>1</v>
      </c>
      <c r="CL11">
        <v>0</v>
      </c>
      <c r="CM11">
        <v>0</v>
      </c>
      <c r="CN11">
        <v>0</v>
      </c>
      <c r="CO11">
        <v>0</v>
      </c>
      <c r="CP11">
        <v>0</v>
      </c>
      <c r="CQ11">
        <v>0</v>
      </c>
      <c r="CR11">
        <v>0</v>
      </c>
      <c r="CS11">
        <v>0</v>
      </c>
      <c r="CT11">
        <v>0</v>
      </c>
      <c r="CU11" s="7">
        <v>0</v>
      </c>
      <c r="CV11">
        <v>0</v>
      </c>
      <c r="CW11">
        <v>0</v>
      </c>
      <c r="CX11">
        <v>1</v>
      </c>
      <c r="CY11" s="9">
        <v>1</v>
      </c>
      <c r="CZ11">
        <v>1</v>
      </c>
      <c r="DA11">
        <v>1</v>
      </c>
      <c r="DB11">
        <v>0</v>
      </c>
      <c r="DC11">
        <v>0</v>
      </c>
      <c r="DD11">
        <v>0</v>
      </c>
      <c r="DE11">
        <v>1</v>
      </c>
      <c r="DF11">
        <v>1</v>
      </c>
      <c r="DG11">
        <v>1</v>
      </c>
      <c r="DH11">
        <v>3</v>
      </c>
      <c r="DI11">
        <v>1</v>
      </c>
      <c r="DJ11" s="11">
        <v>0</v>
      </c>
      <c r="DK11" s="11">
        <v>0</v>
      </c>
      <c r="DL11" s="11">
        <v>1</v>
      </c>
      <c r="DM11">
        <v>1</v>
      </c>
      <c r="DN11" t="s">
        <v>346</v>
      </c>
      <c r="DO11">
        <v>2040</v>
      </c>
      <c r="DP11">
        <v>0</v>
      </c>
      <c r="DQ11">
        <v>0</v>
      </c>
      <c r="DR11">
        <v>0</v>
      </c>
      <c r="DS11">
        <v>0</v>
      </c>
      <c r="DT11">
        <v>0</v>
      </c>
      <c r="DU11">
        <v>0</v>
      </c>
      <c r="DV11">
        <v>1</v>
      </c>
      <c r="DW11">
        <v>1</v>
      </c>
      <c r="DX11">
        <v>0</v>
      </c>
      <c r="DY11">
        <v>1</v>
      </c>
      <c r="DZ11">
        <v>0</v>
      </c>
      <c r="EA11">
        <v>1</v>
      </c>
      <c r="EB11">
        <v>1</v>
      </c>
      <c r="EC11">
        <v>0</v>
      </c>
      <c r="ED11">
        <v>0</v>
      </c>
      <c r="EE11">
        <v>1</v>
      </c>
      <c r="EF11">
        <v>1</v>
      </c>
      <c r="EG11">
        <v>1</v>
      </c>
      <c r="EH11">
        <v>1</v>
      </c>
      <c r="EI11">
        <v>1</v>
      </c>
      <c r="EJ11">
        <v>0</v>
      </c>
      <c r="EK11">
        <v>1</v>
      </c>
      <c r="EL11">
        <v>1</v>
      </c>
      <c r="EM11" t="s">
        <v>176</v>
      </c>
      <c r="EN11" t="s">
        <v>181</v>
      </c>
      <c r="EO11" t="s">
        <v>188</v>
      </c>
      <c r="EP11" t="s">
        <v>175</v>
      </c>
      <c r="EQ11">
        <v>0</v>
      </c>
      <c r="ER11" t="s">
        <v>176</v>
      </c>
      <c r="ES11" t="s">
        <v>176</v>
      </c>
      <c r="ET11" t="s">
        <v>177</v>
      </c>
      <c r="EU11" t="s">
        <v>176</v>
      </c>
      <c r="EV11" t="s">
        <v>175</v>
      </c>
      <c r="EW11" t="s">
        <v>208</v>
      </c>
      <c r="EY11">
        <v>2040</v>
      </c>
    </row>
    <row r="12" spans="1:155" x14ac:dyDescent="0.35">
      <c r="A12" t="s">
        <v>347</v>
      </c>
      <c r="B12" t="s">
        <v>348</v>
      </c>
      <c r="C12" t="s">
        <v>157</v>
      </c>
      <c r="D12" t="s">
        <v>349</v>
      </c>
      <c r="E12" t="s">
        <v>350</v>
      </c>
      <c r="F12" t="s">
        <v>214</v>
      </c>
      <c r="G12" t="s">
        <v>298</v>
      </c>
      <c r="H12" t="s">
        <v>351</v>
      </c>
      <c r="I12" t="s">
        <v>245</v>
      </c>
      <c r="Q12" t="s">
        <v>352</v>
      </c>
      <c r="R12" t="s">
        <v>337</v>
      </c>
      <c r="S12" t="s">
        <v>338</v>
      </c>
      <c r="T12">
        <v>211</v>
      </c>
      <c r="U12">
        <v>211</v>
      </c>
      <c r="V12" t="s">
        <v>339</v>
      </c>
      <c r="W12" t="s">
        <v>340</v>
      </c>
      <c r="X12" t="s">
        <v>215</v>
      </c>
      <c r="Y12" t="s">
        <v>341</v>
      </c>
      <c r="Z12" t="s">
        <v>171</v>
      </c>
      <c r="AA12" t="s">
        <v>342</v>
      </c>
      <c r="AB12" t="s">
        <v>343</v>
      </c>
      <c r="AC12">
        <v>5.7000000000000002E-2</v>
      </c>
      <c r="AD12" t="s">
        <v>344</v>
      </c>
      <c r="AE12">
        <v>774303</v>
      </c>
      <c r="AF12">
        <v>24</v>
      </c>
      <c r="AG12" t="s">
        <v>176</v>
      </c>
      <c r="AH12">
        <v>2019</v>
      </c>
      <c r="AI12">
        <v>2023</v>
      </c>
      <c r="AJ12" t="s">
        <v>176</v>
      </c>
      <c r="AK12" t="s">
        <v>176</v>
      </c>
      <c r="AL12" t="s">
        <v>177</v>
      </c>
      <c r="AM12" t="s">
        <v>178</v>
      </c>
      <c r="AN12">
        <v>2030</v>
      </c>
      <c r="AO12" t="s">
        <v>177</v>
      </c>
      <c r="AP12" t="s">
        <v>178</v>
      </c>
      <c r="AQ12">
        <v>2040</v>
      </c>
      <c r="AR12" t="s">
        <v>176</v>
      </c>
      <c r="AS12" t="s">
        <v>177</v>
      </c>
      <c r="AT12">
        <v>2040</v>
      </c>
      <c r="AV12" t="s">
        <v>179</v>
      </c>
      <c r="AW12" t="s">
        <v>180</v>
      </c>
      <c r="AX12" t="s">
        <v>181</v>
      </c>
      <c r="AY12" t="s">
        <v>181</v>
      </c>
      <c r="AZ12" t="s">
        <v>181</v>
      </c>
      <c r="BA12" t="s">
        <v>182</v>
      </c>
      <c r="BC12" t="s">
        <v>175</v>
      </c>
      <c r="BH12" t="s">
        <v>183</v>
      </c>
      <c r="BI12" t="s">
        <v>176</v>
      </c>
      <c r="BJ12" t="s">
        <v>182</v>
      </c>
      <c r="BK12" t="s">
        <v>345</v>
      </c>
      <c r="BL12" s="9">
        <v>2025</v>
      </c>
      <c r="BO12" t="s">
        <v>208</v>
      </c>
      <c r="BP12" t="s">
        <v>185</v>
      </c>
      <c r="BQ12" t="s">
        <v>186</v>
      </c>
      <c r="BR12" t="s">
        <v>175</v>
      </c>
      <c r="BZ12">
        <v>1</v>
      </c>
      <c r="CA12">
        <v>0</v>
      </c>
      <c r="CB12">
        <v>0</v>
      </c>
      <c r="CC12" s="3">
        <v>1</v>
      </c>
      <c r="CD12">
        <v>0</v>
      </c>
      <c r="CE12">
        <v>1</v>
      </c>
      <c r="CF12">
        <v>0</v>
      </c>
      <c r="CG12" s="5">
        <v>1</v>
      </c>
      <c r="CH12">
        <v>0</v>
      </c>
      <c r="CI12">
        <v>0</v>
      </c>
      <c r="CJ12">
        <v>1</v>
      </c>
      <c r="CK12">
        <v>1</v>
      </c>
      <c r="CL12">
        <v>0</v>
      </c>
      <c r="CM12">
        <v>0</v>
      </c>
      <c r="CN12">
        <v>0</v>
      </c>
      <c r="CO12">
        <v>0</v>
      </c>
      <c r="CP12">
        <v>0</v>
      </c>
      <c r="CQ12">
        <v>0</v>
      </c>
      <c r="CR12">
        <v>0</v>
      </c>
      <c r="CS12">
        <v>0</v>
      </c>
      <c r="CT12">
        <v>0</v>
      </c>
      <c r="CU12" s="7">
        <v>0</v>
      </c>
      <c r="CV12">
        <v>0</v>
      </c>
      <c r="CW12">
        <v>0</v>
      </c>
      <c r="CX12">
        <v>1</v>
      </c>
      <c r="CY12" s="9">
        <v>1</v>
      </c>
      <c r="CZ12">
        <v>1</v>
      </c>
      <c r="DA12">
        <v>1</v>
      </c>
      <c r="DB12">
        <v>0</v>
      </c>
      <c r="DC12">
        <v>0</v>
      </c>
      <c r="DD12">
        <v>0</v>
      </c>
      <c r="DE12">
        <v>1</v>
      </c>
      <c r="DF12">
        <v>1</v>
      </c>
      <c r="DG12">
        <v>1</v>
      </c>
      <c r="DH12">
        <v>3</v>
      </c>
      <c r="DI12">
        <v>1</v>
      </c>
      <c r="DJ12" s="11">
        <v>0</v>
      </c>
      <c r="DK12" s="11">
        <v>0</v>
      </c>
      <c r="DL12" s="11">
        <v>1</v>
      </c>
      <c r="DM12">
        <v>1</v>
      </c>
      <c r="DN12" t="s">
        <v>346</v>
      </c>
      <c r="DO12">
        <v>2040</v>
      </c>
      <c r="DP12">
        <v>0</v>
      </c>
      <c r="DQ12">
        <v>0</v>
      </c>
      <c r="DR12">
        <v>0</v>
      </c>
      <c r="DS12">
        <v>0</v>
      </c>
      <c r="DT12">
        <v>0</v>
      </c>
      <c r="DU12">
        <v>0</v>
      </c>
      <c r="DV12">
        <v>1</v>
      </c>
      <c r="DW12">
        <v>1</v>
      </c>
      <c r="DX12">
        <v>0</v>
      </c>
      <c r="DY12">
        <v>1</v>
      </c>
      <c r="DZ12">
        <v>0</v>
      </c>
      <c r="EA12">
        <v>1</v>
      </c>
      <c r="EB12">
        <v>1</v>
      </c>
      <c r="EC12">
        <v>0</v>
      </c>
      <c r="ED12">
        <v>0</v>
      </c>
      <c r="EE12">
        <v>1</v>
      </c>
      <c r="EF12">
        <v>1</v>
      </c>
      <c r="EG12">
        <v>1</v>
      </c>
      <c r="EH12">
        <v>1</v>
      </c>
      <c r="EI12">
        <v>1</v>
      </c>
      <c r="EJ12">
        <v>0</v>
      </c>
      <c r="EK12">
        <v>1</v>
      </c>
      <c r="EL12">
        <v>1</v>
      </c>
      <c r="EM12" t="s">
        <v>176</v>
      </c>
      <c r="EN12" t="s">
        <v>181</v>
      </c>
      <c r="EO12" t="s">
        <v>188</v>
      </c>
      <c r="EP12" t="s">
        <v>175</v>
      </c>
      <c r="EQ12">
        <v>0</v>
      </c>
      <c r="ER12" t="s">
        <v>176</v>
      </c>
      <c r="ES12" t="s">
        <v>176</v>
      </c>
      <c r="ET12" t="s">
        <v>177</v>
      </c>
      <c r="EU12" t="s">
        <v>176</v>
      </c>
      <c r="EV12" t="s">
        <v>175</v>
      </c>
      <c r="EW12" t="s">
        <v>208</v>
      </c>
      <c r="EY12">
        <v>2040</v>
      </c>
    </row>
    <row r="13" spans="1:155" x14ac:dyDescent="0.35">
      <c r="A13" t="s">
        <v>353</v>
      </c>
      <c r="B13" t="s">
        <v>354</v>
      </c>
      <c r="C13" t="s">
        <v>157</v>
      </c>
      <c r="D13" t="s">
        <v>355</v>
      </c>
      <c r="F13" t="s">
        <v>356</v>
      </c>
      <c r="G13" t="s">
        <v>298</v>
      </c>
      <c r="H13" t="s">
        <v>351</v>
      </c>
      <c r="I13" t="s">
        <v>245</v>
      </c>
      <c r="R13" t="s">
        <v>337</v>
      </c>
      <c r="S13" t="s">
        <v>338</v>
      </c>
      <c r="T13">
        <v>211</v>
      </c>
      <c r="U13">
        <v>211</v>
      </c>
      <c r="V13" t="s">
        <v>339</v>
      </c>
      <c r="W13" t="s">
        <v>340</v>
      </c>
      <c r="X13" t="s">
        <v>215</v>
      </c>
      <c r="Y13" t="s">
        <v>341</v>
      </c>
      <c r="Z13" t="s">
        <v>171</v>
      </c>
      <c r="AA13" t="s">
        <v>342</v>
      </c>
      <c r="AB13" t="s">
        <v>343</v>
      </c>
      <c r="AC13">
        <v>5.7000000000000002E-2</v>
      </c>
      <c r="AD13" t="s">
        <v>344</v>
      </c>
      <c r="AE13">
        <v>774303</v>
      </c>
      <c r="AF13">
        <v>24</v>
      </c>
      <c r="AG13" t="s">
        <v>176</v>
      </c>
      <c r="AH13">
        <v>2019</v>
      </c>
      <c r="AI13">
        <v>2023</v>
      </c>
      <c r="AJ13" t="s">
        <v>176</v>
      </c>
      <c r="AK13" t="s">
        <v>176</v>
      </c>
      <c r="AL13" t="s">
        <v>177</v>
      </c>
      <c r="AM13" t="s">
        <v>178</v>
      </c>
      <c r="AN13">
        <v>2030</v>
      </c>
      <c r="AO13" t="s">
        <v>177</v>
      </c>
      <c r="AP13" t="s">
        <v>178</v>
      </c>
      <c r="AQ13">
        <v>2040</v>
      </c>
      <c r="AR13" t="s">
        <v>176</v>
      </c>
      <c r="AS13" t="s">
        <v>177</v>
      </c>
      <c r="AT13">
        <v>2040</v>
      </c>
      <c r="AV13" t="s">
        <v>179</v>
      </c>
      <c r="AW13" t="s">
        <v>180</v>
      </c>
      <c r="AX13" t="s">
        <v>181</v>
      </c>
      <c r="AY13" t="s">
        <v>181</v>
      </c>
      <c r="AZ13" t="s">
        <v>181</v>
      </c>
      <c r="BA13" t="s">
        <v>182</v>
      </c>
      <c r="BC13" t="s">
        <v>175</v>
      </c>
      <c r="BH13" t="s">
        <v>183</v>
      </c>
      <c r="BI13" t="s">
        <v>176</v>
      </c>
      <c r="BJ13" t="s">
        <v>182</v>
      </c>
      <c r="BK13" t="s">
        <v>345</v>
      </c>
      <c r="BL13" s="9">
        <v>2025</v>
      </c>
      <c r="BO13" t="s">
        <v>208</v>
      </c>
      <c r="BP13" t="s">
        <v>185</v>
      </c>
      <c r="BQ13" t="s">
        <v>186</v>
      </c>
      <c r="BR13" t="s">
        <v>175</v>
      </c>
      <c r="BZ13">
        <v>1</v>
      </c>
      <c r="CA13">
        <v>0</v>
      </c>
      <c r="CB13">
        <v>0</v>
      </c>
      <c r="CC13" s="3">
        <v>1</v>
      </c>
      <c r="CD13">
        <v>0</v>
      </c>
      <c r="CE13">
        <v>1</v>
      </c>
      <c r="CF13">
        <v>0</v>
      </c>
      <c r="CG13" s="5">
        <v>1</v>
      </c>
      <c r="CH13">
        <v>0</v>
      </c>
      <c r="CI13">
        <v>0</v>
      </c>
      <c r="CJ13">
        <v>1</v>
      </c>
      <c r="CK13">
        <v>1</v>
      </c>
      <c r="CL13">
        <v>0</v>
      </c>
      <c r="CM13">
        <v>0</v>
      </c>
      <c r="CN13">
        <v>0</v>
      </c>
      <c r="CO13">
        <v>0</v>
      </c>
      <c r="CP13">
        <v>0</v>
      </c>
      <c r="CQ13">
        <v>0</v>
      </c>
      <c r="CR13">
        <v>0</v>
      </c>
      <c r="CS13">
        <v>0</v>
      </c>
      <c r="CT13">
        <v>0</v>
      </c>
      <c r="CU13" s="7">
        <v>0</v>
      </c>
      <c r="CV13">
        <v>0</v>
      </c>
      <c r="CW13">
        <v>0</v>
      </c>
      <c r="CX13">
        <v>1</v>
      </c>
      <c r="CY13" s="9">
        <v>1</v>
      </c>
      <c r="CZ13">
        <v>1</v>
      </c>
      <c r="DA13">
        <v>1</v>
      </c>
      <c r="DB13">
        <v>0</v>
      </c>
      <c r="DC13">
        <v>0</v>
      </c>
      <c r="DD13">
        <v>0</v>
      </c>
      <c r="DE13">
        <v>1</v>
      </c>
      <c r="DF13">
        <v>1</v>
      </c>
      <c r="DG13">
        <v>1</v>
      </c>
      <c r="DH13">
        <v>3</v>
      </c>
      <c r="DI13">
        <v>1</v>
      </c>
      <c r="DJ13" s="11">
        <v>0</v>
      </c>
      <c r="DK13" s="11">
        <v>0</v>
      </c>
      <c r="DL13" s="11">
        <v>1</v>
      </c>
      <c r="DM13">
        <v>1</v>
      </c>
      <c r="DN13" t="s">
        <v>346</v>
      </c>
      <c r="DO13">
        <v>2040</v>
      </c>
      <c r="DP13">
        <v>0</v>
      </c>
      <c r="DQ13">
        <v>0</v>
      </c>
      <c r="DR13">
        <v>0</v>
      </c>
      <c r="DS13">
        <v>0</v>
      </c>
      <c r="DT13">
        <v>0</v>
      </c>
      <c r="DU13">
        <v>0</v>
      </c>
      <c r="DV13">
        <v>1</v>
      </c>
      <c r="DW13">
        <v>1</v>
      </c>
      <c r="DX13">
        <v>0</v>
      </c>
      <c r="DY13">
        <v>1</v>
      </c>
      <c r="DZ13">
        <v>0</v>
      </c>
      <c r="EA13">
        <v>1</v>
      </c>
      <c r="EB13">
        <v>1</v>
      </c>
      <c r="EC13">
        <v>0</v>
      </c>
      <c r="ED13">
        <v>0</v>
      </c>
      <c r="EE13">
        <v>1</v>
      </c>
      <c r="EF13">
        <v>1</v>
      </c>
      <c r="EG13">
        <v>1</v>
      </c>
      <c r="EH13">
        <v>1</v>
      </c>
      <c r="EI13">
        <v>1</v>
      </c>
      <c r="EJ13">
        <v>0</v>
      </c>
      <c r="EK13">
        <v>1</v>
      </c>
      <c r="EL13">
        <v>1</v>
      </c>
      <c r="EM13" t="s">
        <v>176</v>
      </c>
      <c r="EN13" t="s">
        <v>181</v>
      </c>
      <c r="EO13" t="s">
        <v>188</v>
      </c>
      <c r="EP13" t="s">
        <v>175</v>
      </c>
      <c r="EQ13">
        <v>0</v>
      </c>
      <c r="ER13" t="s">
        <v>176</v>
      </c>
      <c r="ES13" t="s">
        <v>176</v>
      </c>
      <c r="ET13" t="s">
        <v>177</v>
      </c>
      <c r="EU13" t="s">
        <v>176</v>
      </c>
      <c r="EV13" t="s">
        <v>175</v>
      </c>
      <c r="EW13" t="s">
        <v>208</v>
      </c>
      <c r="EY13">
        <v>2040</v>
      </c>
    </row>
    <row r="14" spans="1:155" x14ac:dyDescent="0.35">
      <c r="A14" t="s">
        <v>357</v>
      </c>
      <c r="B14" t="s">
        <v>358</v>
      </c>
      <c r="C14" t="s">
        <v>282</v>
      </c>
      <c r="D14" t="s">
        <v>359</v>
      </c>
      <c r="E14" t="s">
        <v>360</v>
      </c>
      <c r="F14" t="s">
        <v>361</v>
      </c>
      <c r="G14" t="s">
        <v>362</v>
      </c>
      <c r="I14" t="s">
        <v>363</v>
      </c>
      <c r="Q14" t="s">
        <v>364</v>
      </c>
      <c r="R14" t="s">
        <v>365</v>
      </c>
      <c r="S14" t="s">
        <v>366</v>
      </c>
      <c r="T14">
        <v>302</v>
      </c>
      <c r="U14">
        <v>284</v>
      </c>
      <c r="V14" t="s">
        <v>358</v>
      </c>
      <c r="W14" t="s">
        <v>367</v>
      </c>
      <c r="X14" t="s">
        <v>169</v>
      </c>
      <c r="Y14" t="s">
        <v>361</v>
      </c>
      <c r="Z14" t="s">
        <v>171</v>
      </c>
      <c r="AA14" t="s">
        <v>368</v>
      </c>
      <c r="AB14" t="s">
        <v>369</v>
      </c>
      <c r="AC14">
        <v>5.3999999999999999E-2</v>
      </c>
      <c r="AD14" t="s">
        <v>370</v>
      </c>
      <c r="AE14">
        <v>158413</v>
      </c>
      <c r="AF14">
        <v>31</v>
      </c>
      <c r="AG14" t="s">
        <v>175</v>
      </c>
      <c r="AJ14" t="s">
        <v>176</v>
      </c>
      <c r="AK14" t="s">
        <v>176</v>
      </c>
      <c r="AL14" t="s">
        <v>177</v>
      </c>
      <c r="AM14" t="s">
        <v>178</v>
      </c>
      <c r="AN14">
        <v>2030</v>
      </c>
      <c r="AO14" t="s">
        <v>177</v>
      </c>
      <c r="AP14" t="s">
        <v>178</v>
      </c>
      <c r="AQ14">
        <v>2050</v>
      </c>
      <c r="AR14" t="s">
        <v>176</v>
      </c>
      <c r="AS14" t="s">
        <v>177</v>
      </c>
      <c r="AT14">
        <v>2050</v>
      </c>
      <c r="AV14" t="s">
        <v>179</v>
      </c>
      <c r="AW14" t="s">
        <v>180</v>
      </c>
      <c r="AX14" t="s">
        <v>181</v>
      </c>
      <c r="AY14" t="s">
        <v>181</v>
      </c>
      <c r="AZ14" t="s">
        <v>181</v>
      </c>
      <c r="BA14" t="s">
        <v>182</v>
      </c>
      <c r="BC14" t="s">
        <v>175</v>
      </c>
      <c r="BH14" t="s">
        <v>183</v>
      </c>
      <c r="BI14" t="s">
        <v>176</v>
      </c>
      <c r="BJ14" t="s">
        <v>182</v>
      </c>
      <c r="BK14" t="s">
        <v>371</v>
      </c>
      <c r="BL14" s="9">
        <v>2050</v>
      </c>
      <c r="BO14" t="s">
        <v>181</v>
      </c>
      <c r="BP14" t="s">
        <v>259</v>
      </c>
      <c r="BQ14" t="s">
        <v>186</v>
      </c>
      <c r="BR14" t="s">
        <v>175</v>
      </c>
      <c r="BZ14">
        <v>0</v>
      </c>
      <c r="CA14">
        <v>0</v>
      </c>
      <c r="CB14">
        <v>0</v>
      </c>
      <c r="CC14" s="3">
        <v>0</v>
      </c>
      <c r="CD14">
        <v>0</v>
      </c>
      <c r="CE14">
        <v>1</v>
      </c>
      <c r="CF14">
        <v>0</v>
      </c>
      <c r="CG14" s="5">
        <v>1</v>
      </c>
      <c r="CH14">
        <v>0</v>
      </c>
      <c r="CI14">
        <v>0</v>
      </c>
      <c r="CJ14">
        <v>1</v>
      </c>
      <c r="CK14">
        <v>0</v>
      </c>
      <c r="CL14">
        <v>0</v>
      </c>
      <c r="CM14">
        <v>1</v>
      </c>
      <c r="CN14">
        <v>0</v>
      </c>
      <c r="CO14">
        <v>0</v>
      </c>
      <c r="CP14">
        <v>0</v>
      </c>
      <c r="CQ14">
        <v>0</v>
      </c>
      <c r="CR14">
        <v>0</v>
      </c>
      <c r="CS14">
        <v>0</v>
      </c>
      <c r="CT14">
        <v>0</v>
      </c>
      <c r="CU14" s="7">
        <v>0</v>
      </c>
      <c r="CV14">
        <v>0</v>
      </c>
      <c r="CW14">
        <v>0</v>
      </c>
      <c r="CX14">
        <v>1</v>
      </c>
      <c r="CY14" s="9">
        <v>1</v>
      </c>
      <c r="CZ14">
        <v>1</v>
      </c>
      <c r="DA14">
        <v>1</v>
      </c>
      <c r="DB14">
        <v>0</v>
      </c>
      <c r="DC14">
        <v>0</v>
      </c>
      <c r="DD14">
        <v>0</v>
      </c>
      <c r="DE14">
        <v>0</v>
      </c>
      <c r="DF14">
        <v>1</v>
      </c>
      <c r="DG14">
        <v>1</v>
      </c>
      <c r="DH14">
        <v>2</v>
      </c>
      <c r="DI14">
        <v>1</v>
      </c>
      <c r="DJ14" s="11">
        <v>1</v>
      </c>
      <c r="DK14" s="11">
        <v>0</v>
      </c>
      <c r="DL14" s="11">
        <v>0</v>
      </c>
      <c r="DM14">
        <v>1</v>
      </c>
      <c r="DN14" t="s">
        <v>187</v>
      </c>
      <c r="DO14">
        <v>2050</v>
      </c>
      <c r="DP14">
        <v>0</v>
      </c>
      <c r="DQ14">
        <v>0</v>
      </c>
      <c r="DR14">
        <v>1</v>
      </c>
      <c r="DS14">
        <v>1</v>
      </c>
      <c r="DT14">
        <v>0</v>
      </c>
      <c r="DU14">
        <v>0</v>
      </c>
      <c r="DV14">
        <v>1</v>
      </c>
      <c r="DW14">
        <v>1</v>
      </c>
      <c r="DX14">
        <v>0</v>
      </c>
      <c r="DY14">
        <v>1</v>
      </c>
      <c r="DZ14">
        <v>0</v>
      </c>
      <c r="EA14">
        <v>1</v>
      </c>
      <c r="EB14">
        <v>0</v>
      </c>
      <c r="EC14">
        <v>0</v>
      </c>
      <c r="ED14">
        <v>0</v>
      </c>
      <c r="EE14">
        <v>0</v>
      </c>
      <c r="EF14">
        <v>1</v>
      </c>
      <c r="EG14">
        <v>0</v>
      </c>
      <c r="EH14">
        <v>1</v>
      </c>
      <c r="EI14">
        <v>0</v>
      </c>
      <c r="EJ14">
        <v>0</v>
      </c>
      <c r="EK14">
        <v>1</v>
      </c>
      <c r="EL14">
        <v>0</v>
      </c>
      <c r="EM14" t="s">
        <v>176</v>
      </c>
      <c r="EN14" t="s">
        <v>181</v>
      </c>
      <c r="EO14" t="s">
        <v>188</v>
      </c>
      <c r="EP14" t="s">
        <v>188</v>
      </c>
      <c r="EQ14" t="s">
        <v>295</v>
      </c>
      <c r="ER14" t="s">
        <v>295</v>
      </c>
      <c r="ES14" t="s">
        <v>176</v>
      </c>
      <c r="ET14" t="s">
        <v>177</v>
      </c>
      <c r="EU14" t="s">
        <v>176</v>
      </c>
      <c r="EV14" t="s">
        <v>175</v>
      </c>
      <c r="EW14" t="s">
        <v>181</v>
      </c>
      <c r="EY14">
        <v>2050</v>
      </c>
    </row>
    <row r="15" spans="1:155" x14ac:dyDescent="0.35">
      <c r="A15" t="s">
        <v>372</v>
      </c>
      <c r="B15" t="s">
        <v>373</v>
      </c>
      <c r="C15" t="s">
        <v>157</v>
      </c>
      <c r="D15" t="s">
        <v>374</v>
      </c>
      <c r="E15" t="s">
        <v>375</v>
      </c>
      <c r="F15" t="s">
        <v>214</v>
      </c>
      <c r="G15" t="s">
        <v>266</v>
      </c>
      <c r="H15" t="s">
        <v>267</v>
      </c>
      <c r="I15" t="s">
        <v>285</v>
      </c>
      <c r="Q15" t="s">
        <v>376</v>
      </c>
      <c r="R15" t="s">
        <v>377</v>
      </c>
      <c r="S15" t="s">
        <v>378</v>
      </c>
      <c r="T15">
        <v>135</v>
      </c>
      <c r="U15">
        <v>127</v>
      </c>
      <c r="V15" t="s">
        <v>379</v>
      </c>
      <c r="W15" t="s">
        <v>273</v>
      </c>
      <c r="X15" t="s">
        <v>266</v>
      </c>
      <c r="Y15" t="s">
        <v>222</v>
      </c>
      <c r="Z15" t="s">
        <v>223</v>
      </c>
      <c r="AA15" t="s">
        <v>380</v>
      </c>
      <c r="AB15" t="s">
        <v>381</v>
      </c>
      <c r="AC15">
        <v>0.09</v>
      </c>
      <c r="AD15" t="s">
        <v>382</v>
      </c>
      <c r="AE15">
        <v>494824</v>
      </c>
      <c r="AF15">
        <v>31</v>
      </c>
      <c r="AG15" t="s">
        <v>175</v>
      </c>
      <c r="AJ15" t="s">
        <v>176</v>
      </c>
      <c r="AK15" t="s">
        <v>175</v>
      </c>
      <c r="AL15" t="s">
        <v>309</v>
      </c>
      <c r="AN15">
        <v>2030</v>
      </c>
      <c r="AV15" t="s">
        <v>277</v>
      </c>
      <c r="AW15" t="s">
        <v>257</v>
      </c>
      <c r="AX15" t="s">
        <v>181</v>
      </c>
      <c r="AY15" t="s">
        <v>181</v>
      </c>
      <c r="AZ15" t="s">
        <v>329</v>
      </c>
      <c r="BA15" t="s">
        <v>330</v>
      </c>
      <c r="BB15" t="s">
        <v>189</v>
      </c>
      <c r="BC15" t="s">
        <v>176</v>
      </c>
      <c r="BE15" s="7">
        <v>2040</v>
      </c>
      <c r="BI15" t="s">
        <v>175</v>
      </c>
      <c r="BO15" t="s">
        <v>208</v>
      </c>
      <c r="BP15" t="s">
        <v>208</v>
      </c>
      <c r="BQ15" t="s">
        <v>186</v>
      </c>
      <c r="BR15" t="s">
        <v>175</v>
      </c>
      <c r="BZ15">
        <v>0</v>
      </c>
      <c r="CA15">
        <v>0</v>
      </c>
      <c r="CB15">
        <v>0</v>
      </c>
      <c r="CC15" s="3">
        <v>0</v>
      </c>
      <c r="CD15">
        <v>0</v>
      </c>
      <c r="CE15">
        <v>0</v>
      </c>
      <c r="CF15">
        <v>0</v>
      </c>
      <c r="CG15" s="5">
        <v>0</v>
      </c>
      <c r="CH15">
        <v>0</v>
      </c>
      <c r="CI15">
        <v>0</v>
      </c>
      <c r="CJ15">
        <v>0</v>
      </c>
      <c r="CK15">
        <v>0</v>
      </c>
      <c r="CL15">
        <v>0</v>
      </c>
      <c r="CM15">
        <v>0</v>
      </c>
      <c r="CN15">
        <v>0</v>
      </c>
      <c r="CO15">
        <v>0</v>
      </c>
      <c r="CP15">
        <v>1</v>
      </c>
      <c r="CQ15">
        <v>0</v>
      </c>
      <c r="CR15">
        <v>0</v>
      </c>
      <c r="CS15">
        <v>1</v>
      </c>
      <c r="CT15">
        <v>1</v>
      </c>
      <c r="CU15" s="7">
        <v>1</v>
      </c>
      <c r="CV15">
        <v>0</v>
      </c>
      <c r="CW15">
        <v>0</v>
      </c>
      <c r="CX15">
        <v>0</v>
      </c>
      <c r="CY15" s="9">
        <v>0</v>
      </c>
      <c r="CZ15">
        <v>1</v>
      </c>
      <c r="DA15">
        <v>1</v>
      </c>
      <c r="DB15">
        <v>0</v>
      </c>
      <c r="DC15">
        <v>0</v>
      </c>
      <c r="DD15">
        <v>0</v>
      </c>
      <c r="DE15">
        <v>0</v>
      </c>
      <c r="DF15">
        <v>0</v>
      </c>
      <c r="DG15">
        <v>1</v>
      </c>
      <c r="DH15">
        <v>1</v>
      </c>
      <c r="DI15">
        <v>1</v>
      </c>
      <c r="DJ15" s="11">
        <v>0</v>
      </c>
      <c r="DK15" s="11">
        <v>0</v>
      </c>
      <c r="DL15" s="11">
        <v>1</v>
      </c>
      <c r="DM15">
        <v>1</v>
      </c>
      <c r="DN15" t="s">
        <v>260</v>
      </c>
      <c r="DO15">
        <v>0</v>
      </c>
      <c r="DP15">
        <v>0</v>
      </c>
      <c r="DQ15">
        <v>0</v>
      </c>
      <c r="DR15">
        <v>1</v>
      </c>
      <c r="DS15">
        <v>1</v>
      </c>
      <c r="DT15">
        <v>0</v>
      </c>
      <c r="DU15">
        <v>0</v>
      </c>
      <c r="DV15">
        <v>0</v>
      </c>
      <c r="DW15">
        <v>0</v>
      </c>
      <c r="DX15">
        <v>0</v>
      </c>
      <c r="DY15">
        <v>0</v>
      </c>
      <c r="DZ15">
        <v>0</v>
      </c>
      <c r="EA15">
        <v>0</v>
      </c>
      <c r="EB15">
        <v>0</v>
      </c>
      <c r="EC15">
        <v>0</v>
      </c>
      <c r="ED15">
        <v>0</v>
      </c>
      <c r="EE15">
        <v>0</v>
      </c>
      <c r="EF15">
        <v>1</v>
      </c>
      <c r="EG15">
        <v>0</v>
      </c>
      <c r="EH15">
        <v>1</v>
      </c>
      <c r="EI15">
        <v>0</v>
      </c>
      <c r="EJ15">
        <v>0</v>
      </c>
      <c r="EK15">
        <v>1</v>
      </c>
      <c r="EL15">
        <v>0</v>
      </c>
      <c r="EM15" t="s">
        <v>175</v>
      </c>
      <c r="EN15">
        <v>0</v>
      </c>
      <c r="EO15" t="s">
        <v>175</v>
      </c>
      <c r="EP15" t="s">
        <v>189</v>
      </c>
      <c r="EQ15" t="s">
        <v>295</v>
      </c>
      <c r="ER15">
        <v>0</v>
      </c>
      <c r="ES15" t="s">
        <v>176</v>
      </c>
      <c r="EU15" t="s">
        <v>175</v>
      </c>
      <c r="EV15" t="s">
        <v>176</v>
      </c>
      <c r="EW15" t="s">
        <v>208</v>
      </c>
      <c r="EY15">
        <v>0</v>
      </c>
    </row>
    <row r="16" spans="1:155" x14ac:dyDescent="0.35">
      <c r="A16" t="s">
        <v>383</v>
      </c>
      <c r="B16" t="s">
        <v>384</v>
      </c>
      <c r="C16" t="s">
        <v>157</v>
      </c>
      <c r="G16" t="s">
        <v>385</v>
      </c>
      <c r="I16" t="s">
        <v>386</v>
      </c>
      <c r="P16" t="s">
        <v>163</v>
      </c>
      <c r="R16" t="s">
        <v>387</v>
      </c>
      <c r="S16" t="s">
        <v>388</v>
      </c>
      <c r="T16">
        <v>497</v>
      </c>
      <c r="V16" t="s">
        <v>384</v>
      </c>
      <c r="W16" t="s">
        <v>389</v>
      </c>
      <c r="X16" t="s">
        <v>390</v>
      </c>
      <c r="Y16" t="s">
        <v>341</v>
      </c>
      <c r="Z16" t="s">
        <v>171</v>
      </c>
      <c r="AA16" t="s">
        <v>391</v>
      </c>
      <c r="AB16" t="s">
        <v>392</v>
      </c>
      <c r="AC16">
        <v>-2.1999999999999999E-2</v>
      </c>
      <c r="AD16" t="s">
        <v>393</v>
      </c>
      <c r="AE16">
        <v>95000</v>
      </c>
      <c r="AF16">
        <v>8</v>
      </c>
      <c r="AG16" t="s">
        <v>175</v>
      </c>
      <c r="AJ16" t="s">
        <v>176</v>
      </c>
      <c r="AK16" t="s">
        <v>176</v>
      </c>
      <c r="AL16" t="s">
        <v>177</v>
      </c>
      <c r="AM16" t="s">
        <v>178</v>
      </c>
      <c r="AN16">
        <v>2034</v>
      </c>
      <c r="AR16" t="s">
        <v>175</v>
      </c>
      <c r="AS16" t="s">
        <v>255</v>
      </c>
      <c r="AV16" t="s">
        <v>179</v>
      </c>
      <c r="AW16" t="s">
        <v>180</v>
      </c>
      <c r="AX16" t="s">
        <v>181</v>
      </c>
      <c r="AY16" t="s">
        <v>181</v>
      </c>
      <c r="AZ16" t="s">
        <v>181</v>
      </c>
      <c r="BA16" t="s">
        <v>182</v>
      </c>
      <c r="BB16" t="s">
        <v>189</v>
      </c>
      <c r="BC16" t="s">
        <v>176</v>
      </c>
      <c r="BD16" t="s">
        <v>394</v>
      </c>
      <c r="BE16" s="7">
        <v>2030</v>
      </c>
      <c r="BF16" t="s">
        <v>395</v>
      </c>
      <c r="BH16" t="s">
        <v>183</v>
      </c>
      <c r="BI16" t="s">
        <v>176</v>
      </c>
      <c r="BJ16" t="s">
        <v>182</v>
      </c>
      <c r="BK16" t="s">
        <v>396</v>
      </c>
      <c r="BL16" s="9">
        <v>2045</v>
      </c>
      <c r="BO16" t="s">
        <v>181</v>
      </c>
      <c r="BP16" t="s">
        <v>208</v>
      </c>
      <c r="BQ16" t="s">
        <v>186</v>
      </c>
      <c r="BR16" t="s">
        <v>175</v>
      </c>
      <c r="BZ16">
        <v>0</v>
      </c>
      <c r="CA16">
        <v>0</v>
      </c>
      <c r="CB16">
        <v>0</v>
      </c>
      <c r="CC16" s="3">
        <v>0</v>
      </c>
      <c r="CD16">
        <v>0</v>
      </c>
      <c r="CE16">
        <v>0</v>
      </c>
      <c r="CF16">
        <v>1</v>
      </c>
      <c r="CG16" s="5">
        <v>1</v>
      </c>
      <c r="CH16">
        <v>0</v>
      </c>
      <c r="CI16">
        <v>0</v>
      </c>
      <c r="CJ16">
        <v>0</v>
      </c>
      <c r="CK16">
        <v>0</v>
      </c>
      <c r="CL16">
        <v>0</v>
      </c>
      <c r="CM16">
        <v>1</v>
      </c>
      <c r="CN16">
        <v>0</v>
      </c>
      <c r="CO16">
        <v>0</v>
      </c>
      <c r="CP16">
        <v>0</v>
      </c>
      <c r="CQ16">
        <v>0</v>
      </c>
      <c r="CR16">
        <v>1</v>
      </c>
      <c r="CS16">
        <v>0</v>
      </c>
      <c r="CT16">
        <v>1</v>
      </c>
      <c r="CU16" s="7">
        <v>0</v>
      </c>
      <c r="CV16">
        <v>0</v>
      </c>
      <c r="CW16">
        <v>0</v>
      </c>
      <c r="CX16">
        <v>1</v>
      </c>
      <c r="CY16" s="9">
        <v>1</v>
      </c>
      <c r="CZ16">
        <v>1</v>
      </c>
      <c r="DA16">
        <v>1</v>
      </c>
      <c r="DB16">
        <v>0</v>
      </c>
      <c r="DC16">
        <v>0</v>
      </c>
      <c r="DD16">
        <v>0</v>
      </c>
      <c r="DE16">
        <v>0</v>
      </c>
      <c r="DF16">
        <v>0</v>
      </c>
      <c r="DG16">
        <v>2</v>
      </c>
      <c r="DH16">
        <v>2</v>
      </c>
      <c r="DI16">
        <v>1</v>
      </c>
      <c r="DJ16" s="11">
        <v>1</v>
      </c>
      <c r="DK16" s="11">
        <v>0</v>
      </c>
      <c r="DL16" s="11">
        <v>0</v>
      </c>
      <c r="DN16" t="s">
        <v>397</v>
      </c>
      <c r="DO16">
        <v>2045</v>
      </c>
      <c r="ES16" t="s">
        <v>176</v>
      </c>
      <c r="ET16" t="s">
        <v>255</v>
      </c>
      <c r="EU16" t="s">
        <v>176</v>
      </c>
      <c r="EV16" t="s">
        <v>176</v>
      </c>
      <c r="EW16" t="s">
        <v>181</v>
      </c>
      <c r="EY16">
        <v>2045</v>
      </c>
    </row>
    <row r="17" spans="1:155" x14ac:dyDescent="0.35">
      <c r="A17" t="s">
        <v>398</v>
      </c>
      <c r="B17" t="s">
        <v>399</v>
      </c>
      <c r="C17" t="s">
        <v>157</v>
      </c>
      <c r="D17" t="s">
        <v>400</v>
      </c>
      <c r="E17" t="s">
        <v>350</v>
      </c>
      <c r="F17" t="s">
        <v>214</v>
      </c>
      <c r="G17" t="s">
        <v>161</v>
      </c>
      <c r="I17" t="s">
        <v>401</v>
      </c>
      <c r="L17" t="s">
        <v>181</v>
      </c>
      <c r="P17" t="s">
        <v>163</v>
      </c>
      <c r="Q17" t="s">
        <v>402</v>
      </c>
      <c r="R17" t="s">
        <v>403</v>
      </c>
      <c r="S17" t="s">
        <v>404</v>
      </c>
      <c r="T17">
        <v>436</v>
      </c>
      <c r="U17">
        <v>422</v>
      </c>
      <c r="V17" t="s">
        <v>399</v>
      </c>
      <c r="W17" t="s">
        <v>405</v>
      </c>
      <c r="X17" t="s">
        <v>305</v>
      </c>
      <c r="Y17" t="s">
        <v>222</v>
      </c>
      <c r="Z17" t="s">
        <v>223</v>
      </c>
      <c r="AA17" t="s">
        <v>406</v>
      </c>
      <c r="AB17" t="s">
        <v>407</v>
      </c>
      <c r="AC17">
        <v>-7.0000000000000007E-2</v>
      </c>
      <c r="AD17" t="s">
        <v>408</v>
      </c>
      <c r="AE17">
        <v>90000</v>
      </c>
      <c r="AF17">
        <v>18</v>
      </c>
      <c r="AG17" t="s">
        <v>175</v>
      </c>
      <c r="AJ17" t="s">
        <v>176</v>
      </c>
      <c r="AK17" t="s">
        <v>176</v>
      </c>
      <c r="AL17" t="s">
        <v>177</v>
      </c>
      <c r="AM17" t="s">
        <v>178</v>
      </c>
      <c r="AN17">
        <v>2030</v>
      </c>
      <c r="AO17" t="s">
        <v>177</v>
      </c>
      <c r="AP17" t="s">
        <v>178</v>
      </c>
      <c r="AQ17">
        <v>2050</v>
      </c>
      <c r="AR17" t="s">
        <v>176</v>
      </c>
      <c r="AS17" t="s">
        <v>177</v>
      </c>
      <c r="AT17">
        <v>2050</v>
      </c>
      <c r="AV17" t="s">
        <v>179</v>
      </c>
      <c r="AW17" t="s">
        <v>180</v>
      </c>
      <c r="AX17" t="s">
        <v>181</v>
      </c>
      <c r="AY17" t="s">
        <v>181</v>
      </c>
      <c r="AZ17" t="s">
        <v>181</v>
      </c>
      <c r="BA17" t="s">
        <v>182</v>
      </c>
      <c r="BC17" t="s">
        <v>175</v>
      </c>
      <c r="BH17" t="s">
        <v>183</v>
      </c>
      <c r="BI17" t="s">
        <v>176</v>
      </c>
      <c r="BJ17" t="s">
        <v>182</v>
      </c>
      <c r="BK17" t="s">
        <v>409</v>
      </c>
      <c r="BL17" s="9">
        <v>2050</v>
      </c>
      <c r="BO17" t="s">
        <v>208</v>
      </c>
      <c r="BP17" t="s">
        <v>185</v>
      </c>
      <c r="BQ17" t="s">
        <v>186</v>
      </c>
      <c r="BR17" t="s">
        <v>175</v>
      </c>
      <c r="BZ17">
        <v>0</v>
      </c>
      <c r="CA17">
        <v>0</v>
      </c>
      <c r="CB17">
        <v>0</v>
      </c>
      <c r="CC17" s="3">
        <v>0</v>
      </c>
      <c r="CD17">
        <v>0</v>
      </c>
      <c r="CE17">
        <v>1</v>
      </c>
      <c r="CF17">
        <v>0</v>
      </c>
      <c r="CG17" s="5">
        <v>1</v>
      </c>
      <c r="CH17">
        <v>0</v>
      </c>
      <c r="CI17">
        <v>0</v>
      </c>
      <c r="CJ17">
        <v>1</v>
      </c>
      <c r="CK17">
        <v>0</v>
      </c>
      <c r="CL17">
        <v>0</v>
      </c>
      <c r="CM17">
        <v>1</v>
      </c>
      <c r="CN17">
        <v>0</v>
      </c>
      <c r="CO17">
        <v>0</v>
      </c>
      <c r="CP17">
        <v>0</v>
      </c>
      <c r="CQ17">
        <v>0</v>
      </c>
      <c r="CR17">
        <v>0</v>
      </c>
      <c r="CS17">
        <v>0</v>
      </c>
      <c r="CT17">
        <v>0</v>
      </c>
      <c r="CU17" s="7">
        <v>0</v>
      </c>
      <c r="CV17">
        <v>0</v>
      </c>
      <c r="CW17">
        <v>0</v>
      </c>
      <c r="CX17">
        <v>1</v>
      </c>
      <c r="CY17" s="9">
        <v>1</v>
      </c>
      <c r="CZ17">
        <v>1</v>
      </c>
      <c r="DA17">
        <v>1</v>
      </c>
      <c r="DB17">
        <v>0</v>
      </c>
      <c r="DC17">
        <v>0</v>
      </c>
      <c r="DD17">
        <v>0</v>
      </c>
      <c r="DE17">
        <v>0</v>
      </c>
      <c r="DF17">
        <v>1</v>
      </c>
      <c r="DG17">
        <v>1</v>
      </c>
      <c r="DH17">
        <v>2</v>
      </c>
      <c r="DI17">
        <v>1</v>
      </c>
      <c r="DJ17" s="11">
        <v>0</v>
      </c>
      <c r="DK17" s="11">
        <v>0</v>
      </c>
      <c r="DL17" s="11">
        <v>1</v>
      </c>
      <c r="DM17">
        <v>1</v>
      </c>
      <c r="DN17" t="s">
        <v>187</v>
      </c>
      <c r="DO17">
        <v>2050</v>
      </c>
      <c r="DP17">
        <v>0</v>
      </c>
      <c r="DQ17">
        <v>0</v>
      </c>
      <c r="DR17">
        <v>0</v>
      </c>
      <c r="DS17">
        <v>0</v>
      </c>
      <c r="DT17">
        <v>0</v>
      </c>
      <c r="DU17">
        <v>0</v>
      </c>
      <c r="DV17">
        <v>1</v>
      </c>
      <c r="DW17">
        <v>1</v>
      </c>
      <c r="DX17">
        <v>0</v>
      </c>
      <c r="DY17">
        <v>1</v>
      </c>
      <c r="DZ17">
        <v>0</v>
      </c>
      <c r="EA17">
        <v>1</v>
      </c>
      <c r="EB17">
        <v>0</v>
      </c>
      <c r="EC17">
        <v>0</v>
      </c>
      <c r="ED17">
        <v>0</v>
      </c>
      <c r="EE17">
        <v>0</v>
      </c>
      <c r="EF17">
        <v>1</v>
      </c>
      <c r="EG17">
        <v>0</v>
      </c>
      <c r="EH17">
        <v>1</v>
      </c>
      <c r="EI17">
        <v>0</v>
      </c>
      <c r="EJ17">
        <v>0</v>
      </c>
      <c r="EK17">
        <v>1</v>
      </c>
      <c r="EL17">
        <v>0</v>
      </c>
      <c r="EM17" t="s">
        <v>176</v>
      </c>
      <c r="EN17" t="s">
        <v>181</v>
      </c>
      <c r="EO17" t="s">
        <v>188</v>
      </c>
      <c r="EP17" t="s">
        <v>175</v>
      </c>
      <c r="EQ17" t="s">
        <v>175</v>
      </c>
      <c r="ER17" t="s">
        <v>295</v>
      </c>
      <c r="ES17" t="s">
        <v>176</v>
      </c>
      <c r="ET17" t="s">
        <v>177</v>
      </c>
      <c r="EU17" t="s">
        <v>176</v>
      </c>
      <c r="EV17" t="s">
        <v>175</v>
      </c>
      <c r="EW17" t="s">
        <v>208</v>
      </c>
      <c r="EY17">
        <v>2050</v>
      </c>
    </row>
    <row r="18" spans="1:155" x14ac:dyDescent="0.35">
      <c r="A18" t="s">
        <v>410</v>
      </c>
      <c r="B18" t="s">
        <v>339</v>
      </c>
      <c r="C18" t="s">
        <v>157</v>
      </c>
      <c r="G18" t="s">
        <v>215</v>
      </c>
      <c r="I18" t="s">
        <v>245</v>
      </c>
      <c r="L18" t="s">
        <v>181</v>
      </c>
      <c r="R18" t="s">
        <v>337</v>
      </c>
      <c r="S18" t="s">
        <v>338</v>
      </c>
      <c r="T18">
        <v>211</v>
      </c>
      <c r="U18">
        <v>211</v>
      </c>
      <c r="V18" t="s">
        <v>339</v>
      </c>
      <c r="W18" t="s">
        <v>340</v>
      </c>
      <c r="X18" t="s">
        <v>215</v>
      </c>
      <c r="Y18" t="s">
        <v>341</v>
      </c>
      <c r="Z18" t="s">
        <v>171</v>
      </c>
      <c r="AA18" t="s">
        <v>342</v>
      </c>
      <c r="AB18" t="s">
        <v>343</v>
      </c>
      <c r="AC18">
        <v>5.7000000000000002E-2</v>
      </c>
      <c r="AD18" t="s">
        <v>344</v>
      </c>
      <c r="AE18">
        <v>774303</v>
      </c>
      <c r="AF18">
        <v>24</v>
      </c>
      <c r="AG18" t="s">
        <v>176</v>
      </c>
      <c r="AH18">
        <v>2019</v>
      </c>
      <c r="AI18">
        <v>2023</v>
      </c>
      <c r="AJ18" t="s">
        <v>176</v>
      </c>
      <c r="AK18" t="s">
        <v>176</v>
      </c>
      <c r="AL18" t="s">
        <v>177</v>
      </c>
      <c r="AM18" t="s">
        <v>178</v>
      </c>
      <c r="AN18">
        <v>2030</v>
      </c>
      <c r="AO18" t="s">
        <v>177</v>
      </c>
      <c r="AP18" t="s">
        <v>178</v>
      </c>
      <c r="AQ18">
        <v>2040</v>
      </c>
      <c r="AR18" t="s">
        <v>176</v>
      </c>
      <c r="AS18" t="s">
        <v>177</v>
      </c>
      <c r="AT18">
        <v>2040</v>
      </c>
      <c r="AV18" t="s">
        <v>179</v>
      </c>
      <c r="AW18" t="s">
        <v>180</v>
      </c>
      <c r="AX18" t="s">
        <v>181</v>
      </c>
      <c r="AY18" t="s">
        <v>181</v>
      </c>
      <c r="AZ18" t="s">
        <v>181</v>
      </c>
      <c r="BA18" t="s">
        <v>182</v>
      </c>
      <c r="BC18" t="s">
        <v>175</v>
      </c>
      <c r="BH18" t="s">
        <v>183</v>
      </c>
      <c r="BI18" t="s">
        <v>176</v>
      </c>
      <c r="BJ18" t="s">
        <v>182</v>
      </c>
      <c r="BK18" t="s">
        <v>345</v>
      </c>
      <c r="BL18" s="9">
        <v>2025</v>
      </c>
      <c r="BO18" t="s">
        <v>208</v>
      </c>
      <c r="BP18" t="s">
        <v>185</v>
      </c>
      <c r="BQ18" t="s">
        <v>186</v>
      </c>
      <c r="BR18" t="s">
        <v>175</v>
      </c>
      <c r="BZ18">
        <v>1</v>
      </c>
      <c r="CA18">
        <v>0</v>
      </c>
      <c r="CB18">
        <v>0</v>
      </c>
      <c r="CC18" s="3">
        <v>1</v>
      </c>
      <c r="CD18">
        <v>0</v>
      </c>
      <c r="CE18">
        <v>1</v>
      </c>
      <c r="CF18">
        <v>0</v>
      </c>
      <c r="CG18" s="5">
        <v>1</v>
      </c>
      <c r="CH18">
        <v>0</v>
      </c>
      <c r="CI18">
        <v>0</v>
      </c>
      <c r="CJ18">
        <v>1</v>
      </c>
      <c r="CK18">
        <v>1</v>
      </c>
      <c r="CL18">
        <v>0</v>
      </c>
      <c r="CM18">
        <v>0</v>
      </c>
      <c r="CN18">
        <v>0</v>
      </c>
      <c r="CO18">
        <v>0</v>
      </c>
      <c r="CP18">
        <v>0</v>
      </c>
      <c r="CQ18">
        <v>0</v>
      </c>
      <c r="CR18">
        <v>0</v>
      </c>
      <c r="CS18">
        <v>0</v>
      </c>
      <c r="CT18">
        <v>0</v>
      </c>
      <c r="CU18" s="7">
        <v>0</v>
      </c>
      <c r="CV18">
        <v>0</v>
      </c>
      <c r="CW18">
        <v>0</v>
      </c>
      <c r="CX18">
        <v>1</v>
      </c>
      <c r="CY18" s="9">
        <v>1</v>
      </c>
      <c r="CZ18">
        <v>1</v>
      </c>
      <c r="DA18">
        <v>1</v>
      </c>
      <c r="DB18">
        <v>0</v>
      </c>
      <c r="DC18">
        <v>0</v>
      </c>
      <c r="DD18">
        <v>0</v>
      </c>
      <c r="DE18">
        <v>1</v>
      </c>
      <c r="DF18">
        <v>1</v>
      </c>
      <c r="DG18">
        <v>1</v>
      </c>
      <c r="DH18">
        <v>3</v>
      </c>
      <c r="DI18">
        <v>1</v>
      </c>
      <c r="DJ18" s="11">
        <v>0</v>
      </c>
      <c r="DK18" s="11">
        <v>0</v>
      </c>
      <c r="DL18" s="11">
        <v>1</v>
      </c>
      <c r="DM18">
        <v>1</v>
      </c>
      <c r="DN18" t="s">
        <v>346</v>
      </c>
      <c r="DO18">
        <v>2040</v>
      </c>
      <c r="DP18">
        <v>0</v>
      </c>
      <c r="DQ18">
        <v>0</v>
      </c>
      <c r="DR18">
        <v>0</v>
      </c>
      <c r="DS18">
        <v>0</v>
      </c>
      <c r="DT18">
        <v>0</v>
      </c>
      <c r="DU18">
        <v>0</v>
      </c>
      <c r="DV18">
        <v>1</v>
      </c>
      <c r="DW18">
        <v>1</v>
      </c>
      <c r="DX18">
        <v>0</v>
      </c>
      <c r="DY18">
        <v>1</v>
      </c>
      <c r="DZ18">
        <v>0</v>
      </c>
      <c r="EA18">
        <v>1</v>
      </c>
      <c r="EB18">
        <v>1</v>
      </c>
      <c r="EC18">
        <v>0</v>
      </c>
      <c r="ED18">
        <v>0</v>
      </c>
      <c r="EE18">
        <v>1</v>
      </c>
      <c r="EF18">
        <v>1</v>
      </c>
      <c r="EG18">
        <v>1</v>
      </c>
      <c r="EH18">
        <v>1</v>
      </c>
      <c r="EI18">
        <v>1</v>
      </c>
      <c r="EJ18">
        <v>0</v>
      </c>
      <c r="EK18">
        <v>1</v>
      </c>
      <c r="EL18">
        <v>1</v>
      </c>
      <c r="EM18" t="s">
        <v>176</v>
      </c>
      <c r="EN18" t="s">
        <v>181</v>
      </c>
      <c r="EO18" t="s">
        <v>188</v>
      </c>
      <c r="EP18" t="s">
        <v>175</v>
      </c>
      <c r="EQ18">
        <v>0</v>
      </c>
      <c r="ER18" t="s">
        <v>176</v>
      </c>
      <c r="ES18" t="s">
        <v>176</v>
      </c>
      <c r="ET18" t="s">
        <v>177</v>
      </c>
      <c r="EU18" t="s">
        <v>176</v>
      </c>
      <c r="EV18" t="s">
        <v>175</v>
      </c>
      <c r="EW18" t="s">
        <v>208</v>
      </c>
      <c r="EY18">
        <v>2040</v>
      </c>
    </row>
    <row r="19" spans="1:155" x14ac:dyDescent="0.35">
      <c r="A19" t="s">
        <v>411</v>
      </c>
      <c r="B19" t="s">
        <v>412</v>
      </c>
      <c r="C19" t="s">
        <v>157</v>
      </c>
      <c r="D19" t="s">
        <v>413</v>
      </c>
      <c r="E19" t="s">
        <v>414</v>
      </c>
      <c r="F19" t="s">
        <v>214</v>
      </c>
      <c r="G19" t="s">
        <v>415</v>
      </c>
      <c r="I19" t="s">
        <v>416</v>
      </c>
      <c r="Q19" t="s">
        <v>417</v>
      </c>
      <c r="R19" t="s">
        <v>417</v>
      </c>
      <c r="S19" t="s">
        <v>418</v>
      </c>
      <c r="T19">
        <v>36</v>
      </c>
      <c r="U19">
        <v>36</v>
      </c>
      <c r="V19" t="s">
        <v>419</v>
      </c>
      <c r="W19" t="s">
        <v>420</v>
      </c>
      <c r="X19" t="s">
        <v>415</v>
      </c>
      <c r="Y19" t="s">
        <v>222</v>
      </c>
      <c r="Z19" t="s">
        <v>223</v>
      </c>
      <c r="AA19" t="s">
        <v>421</v>
      </c>
      <c r="AB19" t="s">
        <v>422</v>
      </c>
      <c r="AC19">
        <v>0.35199999999999998</v>
      </c>
      <c r="AD19" t="s">
        <v>423</v>
      </c>
      <c r="AE19">
        <v>171000</v>
      </c>
      <c r="AF19">
        <v>31</v>
      </c>
      <c r="AG19" t="s">
        <v>175</v>
      </c>
      <c r="AJ19" t="s">
        <v>176</v>
      </c>
      <c r="AK19" t="s">
        <v>176</v>
      </c>
      <c r="AL19" t="s">
        <v>177</v>
      </c>
      <c r="AM19" t="s">
        <v>424</v>
      </c>
      <c r="AN19">
        <v>2035</v>
      </c>
      <c r="AR19" t="s">
        <v>175</v>
      </c>
      <c r="AS19" t="s">
        <v>255</v>
      </c>
      <c r="AV19" t="s">
        <v>277</v>
      </c>
      <c r="AW19" t="s">
        <v>257</v>
      </c>
      <c r="AX19" t="s">
        <v>181</v>
      </c>
      <c r="AY19" t="s">
        <v>181</v>
      </c>
      <c r="AZ19" t="s">
        <v>181</v>
      </c>
      <c r="BA19" t="s">
        <v>182</v>
      </c>
      <c r="BB19" t="s">
        <v>183</v>
      </c>
      <c r="BC19" t="s">
        <v>176</v>
      </c>
      <c r="BD19" t="s">
        <v>425</v>
      </c>
      <c r="BE19" s="7">
        <v>2050</v>
      </c>
      <c r="BI19" t="s">
        <v>175</v>
      </c>
      <c r="BO19" t="s">
        <v>181</v>
      </c>
      <c r="BP19" t="s">
        <v>259</v>
      </c>
      <c r="BQ19" t="s">
        <v>186</v>
      </c>
      <c r="BR19" t="s">
        <v>175</v>
      </c>
      <c r="BZ19">
        <v>0</v>
      </c>
      <c r="CA19">
        <v>0</v>
      </c>
      <c r="CB19">
        <v>0</v>
      </c>
      <c r="CC19" s="3">
        <v>0</v>
      </c>
      <c r="CD19">
        <v>0</v>
      </c>
      <c r="CE19">
        <v>0</v>
      </c>
      <c r="CF19">
        <v>1</v>
      </c>
      <c r="CG19" s="5">
        <v>1</v>
      </c>
      <c r="CH19">
        <v>0</v>
      </c>
      <c r="CI19">
        <v>0</v>
      </c>
      <c r="CJ19">
        <v>0</v>
      </c>
      <c r="CK19">
        <v>0</v>
      </c>
      <c r="CL19">
        <v>0</v>
      </c>
      <c r="CM19">
        <v>0</v>
      </c>
      <c r="CN19">
        <v>0</v>
      </c>
      <c r="CO19">
        <v>0</v>
      </c>
      <c r="CP19">
        <v>1</v>
      </c>
      <c r="CQ19">
        <v>0</v>
      </c>
      <c r="CR19">
        <v>0</v>
      </c>
      <c r="CS19">
        <v>1</v>
      </c>
      <c r="CT19">
        <v>1</v>
      </c>
      <c r="CU19" s="7">
        <v>1</v>
      </c>
      <c r="CV19">
        <v>0</v>
      </c>
      <c r="CW19">
        <v>0</v>
      </c>
      <c r="CX19">
        <v>0</v>
      </c>
      <c r="CY19" s="9">
        <v>0</v>
      </c>
      <c r="CZ19">
        <v>1</v>
      </c>
      <c r="DA19">
        <v>1</v>
      </c>
      <c r="DB19">
        <v>0</v>
      </c>
      <c r="DC19">
        <v>0</v>
      </c>
      <c r="DD19">
        <v>0</v>
      </c>
      <c r="DE19">
        <v>0</v>
      </c>
      <c r="DF19">
        <v>0</v>
      </c>
      <c r="DG19">
        <v>2</v>
      </c>
      <c r="DH19">
        <v>2</v>
      </c>
      <c r="DI19">
        <v>1</v>
      </c>
      <c r="DJ19" s="11">
        <v>1</v>
      </c>
      <c r="DK19" s="11">
        <v>0</v>
      </c>
      <c r="DL19" s="11">
        <v>0</v>
      </c>
      <c r="DN19" t="s">
        <v>260</v>
      </c>
      <c r="DO19">
        <v>0</v>
      </c>
      <c r="DP19">
        <v>0</v>
      </c>
      <c r="DQ19">
        <v>0</v>
      </c>
      <c r="DR19">
        <v>1</v>
      </c>
      <c r="DS19">
        <v>1</v>
      </c>
      <c r="DT19">
        <v>0</v>
      </c>
      <c r="DU19">
        <v>0</v>
      </c>
      <c r="DV19">
        <v>0</v>
      </c>
      <c r="DW19">
        <v>0</v>
      </c>
      <c r="DX19">
        <v>0</v>
      </c>
      <c r="DY19">
        <v>0</v>
      </c>
      <c r="DZ19">
        <v>1</v>
      </c>
      <c r="EA19">
        <v>1</v>
      </c>
      <c r="EB19">
        <v>0</v>
      </c>
      <c r="EC19">
        <v>0</v>
      </c>
      <c r="ED19">
        <v>0</v>
      </c>
      <c r="EE19">
        <v>0</v>
      </c>
      <c r="EF19">
        <v>1</v>
      </c>
      <c r="EG19">
        <v>0</v>
      </c>
      <c r="EH19">
        <v>1</v>
      </c>
      <c r="EI19">
        <v>1</v>
      </c>
      <c r="EJ19">
        <v>0</v>
      </c>
      <c r="EK19">
        <v>1</v>
      </c>
      <c r="EL19">
        <v>0</v>
      </c>
      <c r="EM19" t="s">
        <v>176</v>
      </c>
      <c r="EN19" t="s">
        <v>181</v>
      </c>
      <c r="EO19" t="s">
        <v>175</v>
      </c>
      <c r="EP19" t="s">
        <v>188</v>
      </c>
      <c r="EQ19" t="s">
        <v>176</v>
      </c>
      <c r="ER19">
        <v>0</v>
      </c>
      <c r="ES19" t="s">
        <v>176</v>
      </c>
      <c r="ET19" t="s">
        <v>255</v>
      </c>
      <c r="EU19" t="s">
        <v>175</v>
      </c>
      <c r="EV19" t="s">
        <v>176</v>
      </c>
      <c r="EW19" t="s">
        <v>181</v>
      </c>
      <c r="EY19">
        <v>0</v>
      </c>
    </row>
    <row r="20" spans="1:155" x14ac:dyDescent="0.35">
      <c r="A20" t="s">
        <v>426</v>
      </c>
      <c r="B20" t="s">
        <v>427</v>
      </c>
      <c r="C20" t="s">
        <v>282</v>
      </c>
      <c r="D20" t="s">
        <v>428</v>
      </c>
      <c r="E20" t="s">
        <v>429</v>
      </c>
      <c r="F20" t="s">
        <v>430</v>
      </c>
      <c r="G20" t="s">
        <v>215</v>
      </c>
      <c r="I20" t="s">
        <v>401</v>
      </c>
      <c r="J20" t="s">
        <v>186</v>
      </c>
      <c r="K20" t="s">
        <v>431</v>
      </c>
      <c r="Q20" t="s">
        <v>432</v>
      </c>
      <c r="R20" t="s">
        <v>433</v>
      </c>
      <c r="S20" t="s">
        <v>427</v>
      </c>
      <c r="T20">
        <v>66</v>
      </c>
      <c r="U20">
        <v>222</v>
      </c>
      <c r="V20" t="s">
        <v>434</v>
      </c>
      <c r="W20" t="s">
        <v>435</v>
      </c>
      <c r="X20" t="s">
        <v>215</v>
      </c>
      <c r="Y20" t="s">
        <v>222</v>
      </c>
      <c r="Z20" t="s">
        <v>223</v>
      </c>
      <c r="AA20" t="s">
        <v>436</v>
      </c>
      <c r="AB20" t="s">
        <v>437</v>
      </c>
      <c r="AC20">
        <v>1.4490000000000001</v>
      </c>
      <c r="AD20" t="s">
        <v>438</v>
      </c>
      <c r="AE20">
        <v>36000</v>
      </c>
      <c r="AF20">
        <v>2</v>
      </c>
      <c r="AG20" t="s">
        <v>175</v>
      </c>
      <c r="AJ20" t="s">
        <v>176</v>
      </c>
      <c r="AK20" t="s">
        <v>176</v>
      </c>
      <c r="AL20" t="s">
        <v>177</v>
      </c>
      <c r="AM20" t="s">
        <v>178</v>
      </c>
      <c r="AN20">
        <v>2030</v>
      </c>
      <c r="AV20" t="s">
        <v>310</v>
      </c>
      <c r="AW20" t="s">
        <v>311</v>
      </c>
      <c r="AX20" t="s">
        <v>181</v>
      </c>
      <c r="AY20" t="s">
        <v>181</v>
      </c>
      <c r="AZ20" t="s">
        <v>181</v>
      </c>
      <c r="BA20" t="s">
        <v>182</v>
      </c>
      <c r="BC20" t="s">
        <v>175</v>
      </c>
      <c r="BI20" t="s">
        <v>175</v>
      </c>
      <c r="BO20" t="s">
        <v>208</v>
      </c>
      <c r="BP20" t="s">
        <v>208</v>
      </c>
      <c r="BQ20" t="s">
        <v>186</v>
      </c>
      <c r="BR20" t="s">
        <v>176</v>
      </c>
      <c r="BS20" t="s">
        <v>439</v>
      </c>
      <c r="BT20">
        <v>2030</v>
      </c>
      <c r="BZ20">
        <v>0</v>
      </c>
      <c r="CA20">
        <v>0</v>
      </c>
      <c r="CB20">
        <v>0</v>
      </c>
      <c r="CC20" s="3">
        <v>0</v>
      </c>
      <c r="CD20">
        <v>0</v>
      </c>
      <c r="CE20">
        <v>1</v>
      </c>
      <c r="CF20">
        <v>0</v>
      </c>
      <c r="CG20" s="5">
        <v>1</v>
      </c>
      <c r="CH20">
        <v>0</v>
      </c>
      <c r="CI20">
        <v>0</v>
      </c>
      <c r="CJ20">
        <v>0</v>
      </c>
      <c r="CK20">
        <v>0</v>
      </c>
      <c r="CL20">
        <v>0</v>
      </c>
      <c r="CM20">
        <v>0</v>
      </c>
      <c r="CN20">
        <v>0</v>
      </c>
      <c r="CO20">
        <v>0</v>
      </c>
      <c r="CP20">
        <v>0</v>
      </c>
      <c r="CQ20">
        <v>0</v>
      </c>
      <c r="CR20">
        <v>0</v>
      </c>
      <c r="CS20">
        <v>0</v>
      </c>
      <c r="CT20">
        <v>0</v>
      </c>
      <c r="CU20" s="7">
        <v>0</v>
      </c>
      <c r="CV20">
        <v>0</v>
      </c>
      <c r="CW20">
        <v>0</v>
      </c>
      <c r="CX20">
        <v>0</v>
      </c>
      <c r="CY20" s="9">
        <v>0</v>
      </c>
      <c r="CZ20">
        <v>0</v>
      </c>
      <c r="DA20">
        <v>0</v>
      </c>
      <c r="DB20">
        <v>0</v>
      </c>
      <c r="DC20">
        <v>1</v>
      </c>
      <c r="DD20">
        <v>0</v>
      </c>
      <c r="DE20">
        <v>0</v>
      </c>
      <c r="DF20">
        <v>1</v>
      </c>
      <c r="DG20">
        <v>0</v>
      </c>
      <c r="DH20">
        <v>1</v>
      </c>
      <c r="DI20">
        <v>1</v>
      </c>
      <c r="DJ20" s="11">
        <v>0</v>
      </c>
      <c r="DK20" s="11">
        <v>0</v>
      </c>
      <c r="DL20" s="11">
        <v>1</v>
      </c>
      <c r="DM20">
        <v>1</v>
      </c>
      <c r="DN20" t="s">
        <v>260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t="s">
        <v>175</v>
      </c>
      <c r="EN20">
        <v>0</v>
      </c>
      <c r="EO20" t="s">
        <v>175</v>
      </c>
      <c r="EP20">
        <v>0</v>
      </c>
      <c r="EQ20" t="s">
        <v>175</v>
      </c>
      <c r="ER20" t="s">
        <v>175</v>
      </c>
      <c r="ES20" t="s">
        <v>176</v>
      </c>
      <c r="EU20" t="s">
        <v>175</v>
      </c>
      <c r="EV20" t="s">
        <v>175</v>
      </c>
      <c r="EW20" t="s">
        <v>208</v>
      </c>
      <c r="EY20">
        <v>0</v>
      </c>
    </row>
    <row r="21" spans="1:155" x14ac:dyDescent="0.35">
      <c r="CC21" s="11">
        <f>SUM(CC2:CC20)/19</f>
        <v>0.47368421052631576</v>
      </c>
      <c r="CG21" s="11">
        <f>SUM(CG2:CG20)/19</f>
        <v>0.68421052631578949</v>
      </c>
      <c r="CU21" s="11">
        <f>SUM(CU2:CU20)/19</f>
        <v>0.26315789473684209</v>
      </c>
      <c r="CY21" s="11">
        <f>SUM(CY2:CY20)/19</f>
        <v>0.68421052631578949</v>
      </c>
      <c r="DJ21" s="11">
        <f>SUM(DJ2:DJ20)/19</f>
        <v>0.47368421052631576</v>
      </c>
      <c r="DK21" s="11">
        <f t="shared" ref="DK21:DL21" si="0">SUM(DK2:DK20)/19</f>
        <v>5.2631578947368418E-2</v>
      </c>
      <c r="DL21" s="11">
        <f t="shared" si="0"/>
        <v>0.47368421052631576</v>
      </c>
      <c r="EI21">
        <f>SUM(EI2:EI20)/16</f>
        <v>0.8125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Aniya Bagheri</cp:lastModifiedBy>
  <dcterms:created xsi:type="dcterms:W3CDTF">2026-02-25T13:39:13Z</dcterms:created>
  <dcterms:modified xsi:type="dcterms:W3CDTF">2026-02-25T13:47:31Z</dcterms:modified>
</cp:coreProperties>
</file>